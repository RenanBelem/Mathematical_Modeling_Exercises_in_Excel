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an\OneDrive\Documentos\Puc\"/>
    </mc:Choice>
  </mc:AlternateContent>
  <xr:revisionPtr revIDLastSave="0" documentId="8_{A33CD9E7-5F3E-4221-9241-8143968B903C}" xr6:coauthVersionLast="47" xr6:coauthVersionMax="47" xr10:uidLastSave="{00000000-0000-0000-0000-000000000000}"/>
  <bookViews>
    <workbookView xWindow="-120" yWindow="-120" windowWidth="20730" windowHeight="11160" firstSheet="1" activeTab="3" xr2:uid="{3F6E25B0-28F5-4918-8035-4340ECA59680}"/>
  </bookViews>
  <sheets>
    <sheet name="Relatório de Respostas 1" sheetId="2" r:id="rId1"/>
    <sheet name="Relatório de Sensibilidade 1" sheetId="3" r:id="rId2"/>
    <sheet name="Relatório de Limites 1" sheetId="4" r:id="rId3"/>
    <sheet name="Planilha1" sheetId="1" r:id="rId4"/>
  </sheets>
  <definedNames>
    <definedName name="solver_adj" localSheetId="3" hidden="1">Planilha1!$B$4,Planilha1!$C$4,Planilha1!$D$4,Planilha1!$E$4</definedName>
    <definedName name="solver_cvg" localSheetId="3" hidden="1">0.0001</definedName>
    <definedName name="solver_drv" localSheetId="3" hidden="1">2</definedName>
    <definedName name="solver_eng" localSheetId="3" hidden="1">2</definedName>
    <definedName name="solver_est" localSheetId="3" hidden="1">1</definedName>
    <definedName name="solver_itr" localSheetId="3" hidden="1">2147483647</definedName>
    <definedName name="solver_lhs1" localSheetId="3" hidden="1">Planilha1!$F$10</definedName>
    <definedName name="solver_lhs2" localSheetId="3" hidden="1">Planilha1!$F$11</definedName>
    <definedName name="solver_lhs3" localSheetId="3" hidden="1">Planilha1!$F$12</definedName>
    <definedName name="solver_lhs4" localSheetId="3" hidden="1">Planilha1!$F$13</definedName>
    <definedName name="solver_lhs5" localSheetId="3" hidden="1">Planilha1!$F$14</definedName>
    <definedName name="solver_lhs6" localSheetId="3" hidden="1">Planilha1!$F$15</definedName>
    <definedName name="solver_lhs7" localSheetId="3" hidden="1">Planilha1!$F$9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7</definedName>
    <definedName name="solver_nwt" localSheetId="3" hidden="1">1</definedName>
    <definedName name="solver_opt" localSheetId="3" hidden="1">Planilha1!$B$5</definedName>
    <definedName name="solver_pre" localSheetId="3" hidden="1">0.000001</definedName>
    <definedName name="solver_rbv" localSheetId="3" hidden="1">2</definedName>
    <definedName name="solver_rel1" localSheetId="3" hidden="1">1</definedName>
    <definedName name="solver_rel2" localSheetId="3" hidden="1">1</definedName>
    <definedName name="solver_rel3" localSheetId="3" hidden="1">3</definedName>
    <definedName name="solver_rel4" localSheetId="3" hidden="1">3</definedName>
    <definedName name="solver_rel5" localSheetId="3" hidden="1">3</definedName>
    <definedName name="solver_rel6" localSheetId="3" hidden="1">3</definedName>
    <definedName name="solver_rel7" localSheetId="3" hidden="1">1</definedName>
    <definedName name="solver_rhs1" localSheetId="3" hidden="1">Planilha1!$H$10</definedName>
    <definedName name="solver_rhs2" localSheetId="3" hidden="1">Planilha1!$H$11</definedName>
    <definedName name="solver_rhs3" localSheetId="3" hidden="1">Planilha1!$H$12</definedName>
    <definedName name="solver_rhs4" localSheetId="3" hidden="1">Planilha1!$H$13</definedName>
    <definedName name="solver_rhs5" localSheetId="3" hidden="1">Planilha1!$H$14</definedName>
    <definedName name="solver_rhs6" localSheetId="3" hidden="1">Planilha1!$H$15</definedName>
    <definedName name="solver_rhs7" localSheetId="3" hidden="1">Planilha1!$H$9</definedName>
    <definedName name="solver_rlx" localSheetId="3" hidden="1">2</definedName>
    <definedName name="solver_rsd" localSheetId="3" hidden="1">0</definedName>
    <definedName name="solver_scl" localSheetId="3" hidden="1">2</definedName>
    <definedName name="solver_sho" localSheetId="3" hidden="1">2</definedName>
    <definedName name="solver_sho" localSheetId="2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B5" i="1"/>
</calcChain>
</file>

<file path=xl/sharedStrings.xml><?xml version="1.0" encoding="utf-8"?>
<sst xmlns="http://schemas.openxmlformats.org/spreadsheetml/2006/main" count="183" uniqueCount="99">
  <si>
    <t>z</t>
  </si>
  <si>
    <t>Variáveis</t>
  </si>
  <si>
    <t>Coeficientes</t>
  </si>
  <si>
    <t>Função Objetivo</t>
  </si>
  <si>
    <t>A</t>
  </si>
  <si>
    <t>B</t>
  </si>
  <si>
    <t>C</t>
  </si>
  <si>
    <t>D</t>
  </si>
  <si>
    <t>Restrições</t>
  </si>
  <si>
    <t>nº</t>
  </si>
  <si>
    <t>Impressão</t>
  </si>
  <si>
    <t>Corte</t>
  </si>
  <si>
    <t>Dobra</t>
  </si>
  <si>
    <t>Equação</t>
  </si>
  <si>
    <t>Relação</t>
  </si>
  <si>
    <t>Constante</t>
  </si>
  <si>
    <t>Poster A</t>
  </si>
  <si>
    <t>Poster B</t>
  </si>
  <si>
    <t xml:space="preserve">Poster C </t>
  </si>
  <si>
    <t>Poster D</t>
  </si>
  <si>
    <t>&lt;=</t>
  </si>
  <si>
    <t>&gt;=</t>
  </si>
  <si>
    <t>Microsoft Excel 16.0 Relatório de Respostas</t>
  </si>
  <si>
    <t>Planilha: [Pasta1]Planilha1</t>
  </si>
  <si>
    <t>Relatório Criado: 18/03/2024 19:03:08</t>
  </si>
  <si>
    <t>Resultado: O Solver encontrou uma solução.  Todas as Restrições e condições de adequação foram satisfeitas.</t>
  </si>
  <si>
    <t>Mecanismo do Solver</t>
  </si>
  <si>
    <t>Mecanismo: LP Simplex</t>
  </si>
  <si>
    <t>Tempo da Solução: 0,016 Segundos.</t>
  </si>
  <si>
    <t>Iterações: 7 Subproblemas: 0</t>
  </si>
  <si>
    <t>Opções do Solver</t>
  </si>
  <si>
    <t>Tempo Máx. Ilimitado,  Iterações Ilimitado, Precision 0,000001</t>
  </si>
  <si>
    <t>Subproblemas Máx. Ilimitado, Soluç. Máx. Núm. Inteiro Ilimitado, Tolerância de Número Inteiro 1%, Assumir Não Negativo</t>
  </si>
  <si>
    <t>Célula do Objetivo (Máx.)</t>
  </si>
  <si>
    <t>Célula</t>
  </si>
  <si>
    <t>Nome</t>
  </si>
  <si>
    <t>Valor Original</t>
  </si>
  <si>
    <t>Valor Final</t>
  </si>
  <si>
    <t>Células Variáveis</t>
  </si>
  <si>
    <t>Número Inteiro</t>
  </si>
  <si>
    <t>Valor da Célula</t>
  </si>
  <si>
    <t>Fórmula</t>
  </si>
  <si>
    <t>Status</t>
  </si>
  <si>
    <t>Margem de Atraso</t>
  </si>
  <si>
    <t>$B$5</t>
  </si>
  <si>
    <t>z A</t>
  </si>
  <si>
    <t>$B$4</t>
  </si>
  <si>
    <t>Variáveis A</t>
  </si>
  <si>
    <t>Conting.</t>
  </si>
  <si>
    <t>$C$4</t>
  </si>
  <si>
    <t>Variáveis B</t>
  </si>
  <si>
    <t>$D$4</t>
  </si>
  <si>
    <t>Variáveis C</t>
  </si>
  <si>
    <t>$E$4</t>
  </si>
  <si>
    <t>Variáveis D</t>
  </si>
  <si>
    <t>$F$10</t>
  </si>
  <si>
    <t>Corte Equação</t>
  </si>
  <si>
    <t>$F$10&lt;=$H$10</t>
  </si>
  <si>
    <t>Não-associação</t>
  </si>
  <si>
    <t>$F$11</t>
  </si>
  <si>
    <t>Dobra Equação</t>
  </si>
  <si>
    <t>$F$11&lt;=$H$11</t>
  </si>
  <si>
    <t>Associação</t>
  </si>
  <si>
    <t>$F$12</t>
  </si>
  <si>
    <t>Poster A Equação</t>
  </si>
  <si>
    <t>$F$12&gt;=$H$12</t>
  </si>
  <si>
    <t>$F$13</t>
  </si>
  <si>
    <t>Poster B Equação</t>
  </si>
  <si>
    <t>$F$13&gt;=$H$13</t>
  </si>
  <si>
    <t>$F$14</t>
  </si>
  <si>
    <t>Poster C  Equação</t>
  </si>
  <si>
    <t>$F$14&gt;=$H$14</t>
  </si>
  <si>
    <t>$F$15</t>
  </si>
  <si>
    <t>Poster D Equação</t>
  </si>
  <si>
    <t>$F$15&gt;=$H$15</t>
  </si>
  <si>
    <t>$F$9</t>
  </si>
  <si>
    <t>Impressão Equação</t>
  </si>
  <si>
    <t>$F$9&lt;=$H$9</t>
  </si>
  <si>
    <t>Microsoft Excel 16.0 Relatório de Sensibilidade</t>
  </si>
  <si>
    <t>Relatório Criado: 18/03/2024 19:03:10</t>
  </si>
  <si>
    <t>Final</t>
  </si>
  <si>
    <t>Valor</t>
  </si>
  <si>
    <t>Reduzido</t>
  </si>
  <si>
    <t>Custo</t>
  </si>
  <si>
    <t>Objetivo</t>
  </si>
  <si>
    <t>Coeficiente</t>
  </si>
  <si>
    <t>Permitido</t>
  </si>
  <si>
    <t>Aumentar</t>
  </si>
  <si>
    <t>Reduzir</t>
  </si>
  <si>
    <t>Sombra</t>
  </si>
  <si>
    <t>Preço</t>
  </si>
  <si>
    <t>Restrição</t>
  </si>
  <si>
    <t>Lateral R.H.</t>
  </si>
  <si>
    <t>Microsoft Excel 16.0 Relatório de Limites</t>
  </si>
  <si>
    <t>Variável</t>
  </si>
  <si>
    <t>Inferior</t>
  </si>
  <si>
    <t>Limite</t>
  </si>
  <si>
    <t>Resultado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</si>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</sst>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4" xfId="0" applyFill="1" applyBorder="1" applyAlignment="1"/>
    <xf numFmtId="0" fontId="2" fillId="0" borderId="3" xfId="0" applyFont="1" applyFill="1" applyBorder="1" applyAlignment="1">
      <alignment horizontal="center"/>
    </xf>
    <xf numFmtId="0" fontId="0" fillId="0" borderId="5" xfId="0" applyFill="1" applyBorder="1" applyAlignment="1"/>
    <xf numFmtId="0" fontId="0" fillId="0" borderId="4" xfId="0" applyNumberFormat="1" applyFill="1" applyBorder="1" applyAlignment="1"/>
    <xf numFmtId="0" fontId="0" fillId="0" borderId="5" xfId="0" applyNumberForma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4C08-8FCE-475F-B762-FBB8C71C3581}">
  <dimension ref="A1:G35"/>
  <sheetViews>
    <sheetView showGridLines="0" topLeftCell="A18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8.140625" bestFit="1" customWidth="1"/>
    <col min="4" max="4" width="14.42578125" bestFit="1" customWidth="1"/>
    <col min="5" max="5" width="13.42578125" bestFit="1" customWidth="1"/>
    <col min="6" max="6" width="14.85546875" bestFit="1" customWidth="1"/>
    <col min="7" max="7" width="17.5703125" bestFit="1" customWidth="1"/>
  </cols>
  <sheetData>
    <row r="1" spans="1:5" x14ac:dyDescent="0.25">
      <c r="A1" s="1" t="s">
        <v>22</v>
      </c>
    </row>
    <row r="2" spans="1:5" x14ac:dyDescent="0.25">
      <c r="A2" s="1" t="s">
        <v>23</v>
      </c>
    </row>
    <row r="3" spans="1:5" x14ac:dyDescent="0.25">
      <c r="A3" s="1" t="s">
        <v>24</v>
      </c>
    </row>
    <row r="4" spans="1:5" x14ac:dyDescent="0.25">
      <c r="A4" s="1" t="s">
        <v>25</v>
      </c>
    </row>
    <row r="5" spans="1:5" x14ac:dyDescent="0.25">
      <c r="A5" s="1" t="s">
        <v>26</v>
      </c>
    </row>
    <row r="6" spans="1:5" x14ac:dyDescent="0.25">
      <c r="A6" s="1"/>
      <c r="B6" t="s">
        <v>27</v>
      </c>
    </row>
    <row r="7" spans="1:5" x14ac:dyDescent="0.25">
      <c r="A7" s="1"/>
      <c r="B7" t="s">
        <v>28</v>
      </c>
    </row>
    <row r="8" spans="1:5" x14ac:dyDescent="0.25">
      <c r="A8" s="1"/>
      <c r="B8" t="s">
        <v>29</v>
      </c>
    </row>
    <row r="9" spans="1:5" x14ac:dyDescent="0.25">
      <c r="A9" s="1" t="s">
        <v>30</v>
      </c>
    </row>
    <row r="10" spans="1:5" x14ac:dyDescent="0.25">
      <c r="B10" t="s">
        <v>31</v>
      </c>
    </row>
    <row r="11" spans="1:5" x14ac:dyDescent="0.25">
      <c r="B11" t="s">
        <v>32</v>
      </c>
    </row>
    <row r="14" spans="1:5" ht="15.75" thickBot="1" x14ac:dyDescent="0.3">
      <c r="A14" t="s">
        <v>33</v>
      </c>
    </row>
    <row r="15" spans="1:5" ht="15.75" thickBot="1" x14ac:dyDescent="0.3">
      <c r="B15" s="3" t="s">
        <v>34</v>
      </c>
      <c r="C15" s="3" t="s">
        <v>35</v>
      </c>
      <c r="D15" s="3" t="s">
        <v>36</v>
      </c>
      <c r="E15" s="3" t="s">
        <v>37</v>
      </c>
    </row>
    <row r="16" spans="1:5" ht="15.75" thickBot="1" x14ac:dyDescent="0.3">
      <c r="B16" s="2" t="s">
        <v>44</v>
      </c>
      <c r="C16" s="2" t="s">
        <v>45</v>
      </c>
      <c r="D16" s="5">
        <v>10166.666666666666</v>
      </c>
      <c r="E16" s="5">
        <v>10166.666666666666</v>
      </c>
    </row>
    <row r="19" spans="1:7" ht="15.75" thickBot="1" x14ac:dyDescent="0.3">
      <c r="A19" t="s">
        <v>38</v>
      </c>
    </row>
    <row r="20" spans="1:7" ht="15.75" thickBot="1" x14ac:dyDescent="0.3">
      <c r="B20" s="3" t="s">
        <v>34</v>
      </c>
      <c r="C20" s="3" t="s">
        <v>35</v>
      </c>
      <c r="D20" s="3" t="s">
        <v>36</v>
      </c>
      <c r="E20" s="3" t="s">
        <v>37</v>
      </c>
      <c r="F20" s="3" t="s">
        <v>39</v>
      </c>
    </row>
    <row r="21" spans="1:7" x14ac:dyDescent="0.25">
      <c r="B21" s="4" t="s">
        <v>46</v>
      </c>
      <c r="C21" s="4" t="s">
        <v>47</v>
      </c>
      <c r="D21" s="6">
        <v>1499.9999999999995</v>
      </c>
      <c r="E21" s="6">
        <v>1499.9999999999995</v>
      </c>
      <c r="F21" s="4" t="s">
        <v>48</v>
      </c>
    </row>
    <row r="22" spans="1:7" x14ac:dyDescent="0.25">
      <c r="B22" s="4" t="s">
        <v>49</v>
      </c>
      <c r="C22" s="4" t="s">
        <v>50</v>
      </c>
      <c r="D22" s="6">
        <v>1000</v>
      </c>
      <c r="E22" s="6">
        <v>1000</v>
      </c>
      <c r="F22" s="4" t="s">
        <v>48</v>
      </c>
    </row>
    <row r="23" spans="1:7" x14ac:dyDescent="0.25">
      <c r="B23" s="4" t="s">
        <v>51</v>
      </c>
      <c r="C23" s="4" t="s">
        <v>52</v>
      </c>
      <c r="D23" s="6">
        <v>1000</v>
      </c>
      <c r="E23" s="6">
        <v>1000</v>
      </c>
      <c r="F23" s="4" t="s">
        <v>48</v>
      </c>
    </row>
    <row r="24" spans="1:7" ht="15.75" thickBot="1" x14ac:dyDescent="0.3">
      <c r="B24" s="2" t="s">
        <v>53</v>
      </c>
      <c r="C24" s="2" t="s">
        <v>54</v>
      </c>
      <c r="D24" s="5">
        <v>2833.333333333333</v>
      </c>
      <c r="E24" s="5">
        <v>2833.333333333333</v>
      </c>
      <c r="F24" s="2" t="s">
        <v>48</v>
      </c>
    </row>
    <row r="27" spans="1:7" ht="15.75" thickBot="1" x14ac:dyDescent="0.3">
      <c r="A27" t="s">
        <v>8</v>
      </c>
    </row>
    <row r="28" spans="1:7" ht="15.75" thickBot="1" x14ac:dyDescent="0.3">
      <c r="B28" s="3" t="s">
        <v>34</v>
      </c>
      <c r="C28" s="3" t="s">
        <v>35</v>
      </c>
      <c r="D28" s="3" t="s">
        <v>40</v>
      </c>
      <c r="E28" s="3" t="s">
        <v>41</v>
      </c>
      <c r="F28" s="3" t="s">
        <v>42</v>
      </c>
      <c r="G28" s="3" t="s">
        <v>43</v>
      </c>
    </row>
    <row r="29" spans="1:7" x14ac:dyDescent="0.25">
      <c r="B29" s="4" t="s">
        <v>55</v>
      </c>
      <c r="C29" s="4" t="s">
        <v>56</v>
      </c>
      <c r="D29" s="6">
        <v>16500</v>
      </c>
      <c r="E29" s="4" t="s">
        <v>57</v>
      </c>
      <c r="F29" s="4" t="s">
        <v>58</v>
      </c>
      <c r="G29" s="4">
        <v>3500</v>
      </c>
    </row>
    <row r="30" spans="1:7" x14ac:dyDescent="0.25">
      <c r="B30" s="4" t="s">
        <v>59</v>
      </c>
      <c r="C30" s="4" t="s">
        <v>60</v>
      </c>
      <c r="D30" s="6">
        <v>20000</v>
      </c>
      <c r="E30" s="4" t="s">
        <v>61</v>
      </c>
      <c r="F30" s="4" t="s">
        <v>62</v>
      </c>
      <c r="G30" s="4">
        <v>0</v>
      </c>
    </row>
    <row r="31" spans="1:7" x14ac:dyDescent="0.25">
      <c r="B31" s="4" t="s">
        <v>63</v>
      </c>
      <c r="C31" s="4" t="s">
        <v>64</v>
      </c>
      <c r="D31" s="6">
        <v>1499.9999999999995</v>
      </c>
      <c r="E31" s="4" t="s">
        <v>65</v>
      </c>
      <c r="F31" s="4" t="s">
        <v>58</v>
      </c>
      <c r="G31" s="6">
        <v>499.99999999999955</v>
      </c>
    </row>
    <row r="32" spans="1:7" x14ac:dyDescent="0.25">
      <c r="B32" s="4" t="s">
        <v>66</v>
      </c>
      <c r="C32" s="4" t="s">
        <v>67</v>
      </c>
      <c r="D32" s="6">
        <v>1000</v>
      </c>
      <c r="E32" s="4" t="s">
        <v>68</v>
      </c>
      <c r="F32" s="4" t="s">
        <v>62</v>
      </c>
      <c r="G32" s="6">
        <v>0</v>
      </c>
    </row>
    <row r="33" spans="2:7" x14ac:dyDescent="0.25">
      <c r="B33" s="4" t="s">
        <v>69</v>
      </c>
      <c r="C33" s="4" t="s">
        <v>70</v>
      </c>
      <c r="D33" s="6">
        <v>1000</v>
      </c>
      <c r="E33" s="4" t="s">
        <v>71</v>
      </c>
      <c r="F33" s="4" t="s">
        <v>62</v>
      </c>
      <c r="G33" s="6">
        <v>0</v>
      </c>
    </row>
    <row r="34" spans="2:7" x14ac:dyDescent="0.25">
      <c r="B34" s="4" t="s">
        <v>72</v>
      </c>
      <c r="C34" s="4" t="s">
        <v>73</v>
      </c>
      <c r="D34" s="6">
        <v>2833.333333333333</v>
      </c>
      <c r="E34" s="4" t="s">
        <v>74</v>
      </c>
      <c r="F34" s="4" t="s">
        <v>58</v>
      </c>
      <c r="G34" s="6">
        <v>1833.333333333333</v>
      </c>
    </row>
    <row r="35" spans="2:7" ht="15.75" thickBot="1" x14ac:dyDescent="0.3">
      <c r="B35" s="2" t="s">
        <v>75</v>
      </c>
      <c r="C35" s="2" t="s">
        <v>76</v>
      </c>
      <c r="D35" s="5">
        <v>15000</v>
      </c>
      <c r="E35" s="2" t="s">
        <v>77</v>
      </c>
      <c r="F35" s="2" t="s">
        <v>62</v>
      </c>
      <c r="G35" s="2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F0E81-62E9-456A-9D2D-E8AC5E69E214}">
  <dimension ref="A1:H23"/>
  <sheetViews>
    <sheetView showGridLines="0" topLeftCell="A6" workbookViewId="0"/>
  </sheetViews>
  <sheetFormatPr defaultRowHeight="15" x14ac:dyDescent="0.25"/>
  <cols>
    <col min="1" max="1" width="2.28515625" customWidth="1"/>
    <col min="2" max="2" width="6.5703125" bestFit="1" customWidth="1"/>
    <col min="3" max="3" width="18.140625" bestFit="1" customWidth="1"/>
    <col min="4" max="4" width="12" bestFit="1" customWidth="1"/>
    <col min="5" max="5" width="12.7109375" bestFit="1" customWidth="1"/>
    <col min="6" max="6" width="11.28515625" bestFit="1" customWidth="1"/>
    <col min="7" max="8" width="12" bestFit="1" customWidth="1"/>
  </cols>
  <sheetData>
    <row r="1" spans="1:8" x14ac:dyDescent="0.25">
      <c r="A1" s="1" t="s">
        <v>78</v>
      </c>
    </row>
    <row r="2" spans="1:8" x14ac:dyDescent="0.25">
      <c r="A2" s="1" t="s">
        <v>23</v>
      </c>
    </row>
    <row r="3" spans="1:8" x14ac:dyDescent="0.25">
      <c r="A3" s="1" t="s">
        <v>79</v>
      </c>
    </row>
    <row r="6" spans="1:8" ht="15.75" thickBot="1" x14ac:dyDescent="0.3">
      <c r="A6" t="s">
        <v>38</v>
      </c>
    </row>
    <row r="7" spans="1:8" x14ac:dyDescent="0.25">
      <c r="B7" s="7"/>
      <c r="C7" s="7"/>
      <c r="D7" s="7" t="s">
        <v>80</v>
      </c>
      <c r="E7" s="7" t="s">
        <v>82</v>
      </c>
      <c r="F7" s="7" t="s">
        <v>84</v>
      </c>
      <c r="G7" s="7" t="s">
        <v>86</v>
      </c>
      <c r="H7" s="7" t="s">
        <v>86</v>
      </c>
    </row>
    <row r="8" spans="1:8" ht="15.75" thickBot="1" x14ac:dyDescent="0.3">
      <c r="B8" s="8" t="s">
        <v>34</v>
      </c>
      <c r="C8" s="8" t="s">
        <v>35</v>
      </c>
      <c r="D8" s="8" t="s">
        <v>81</v>
      </c>
      <c r="E8" s="8" t="s">
        <v>83</v>
      </c>
      <c r="F8" s="8" t="s">
        <v>85</v>
      </c>
      <c r="G8" s="8" t="s">
        <v>87</v>
      </c>
      <c r="H8" s="8" t="s">
        <v>88</v>
      </c>
    </row>
    <row r="9" spans="1:8" x14ac:dyDescent="0.25">
      <c r="B9" s="4" t="s">
        <v>46</v>
      </c>
      <c r="C9" s="4" t="s">
        <v>47</v>
      </c>
      <c r="D9" s="4">
        <v>1499.9999999999995</v>
      </c>
      <c r="E9" s="4">
        <v>0</v>
      </c>
      <c r="F9" s="4">
        <v>1</v>
      </c>
      <c r="G9" s="4">
        <v>1.0000000000000002</v>
      </c>
      <c r="H9" s="4">
        <v>0.33333333333333326</v>
      </c>
    </row>
    <row r="10" spans="1:8" x14ac:dyDescent="0.25">
      <c r="B10" s="4" t="s">
        <v>49</v>
      </c>
      <c r="C10" s="4" t="s">
        <v>50</v>
      </c>
      <c r="D10" s="4">
        <v>1000</v>
      </c>
      <c r="E10" s="4">
        <v>0</v>
      </c>
      <c r="F10" s="4">
        <v>1</v>
      </c>
      <c r="G10" s="4">
        <v>0.33333333333333326</v>
      </c>
      <c r="H10" s="4">
        <v>1E+30</v>
      </c>
    </row>
    <row r="11" spans="1:8" x14ac:dyDescent="0.25">
      <c r="B11" s="4" t="s">
        <v>51</v>
      </c>
      <c r="C11" s="4" t="s">
        <v>52</v>
      </c>
      <c r="D11" s="4">
        <v>1000</v>
      </c>
      <c r="E11" s="4">
        <v>0</v>
      </c>
      <c r="F11" s="4">
        <v>2</v>
      </c>
      <c r="G11" s="4">
        <v>0.33333333333333309</v>
      </c>
      <c r="H11" s="4">
        <v>1E+30</v>
      </c>
    </row>
    <row r="12" spans="1:8" ht="15.75" thickBot="1" x14ac:dyDescent="0.3">
      <c r="B12" s="2" t="s">
        <v>53</v>
      </c>
      <c r="C12" s="2" t="s">
        <v>54</v>
      </c>
      <c r="D12" s="2">
        <v>2833.333333333333</v>
      </c>
      <c r="E12" s="2">
        <v>0</v>
      </c>
      <c r="F12" s="2">
        <v>2</v>
      </c>
      <c r="G12" s="2">
        <v>0.99999999999999956</v>
      </c>
      <c r="H12" s="2">
        <v>0.49999999999999967</v>
      </c>
    </row>
    <row r="14" spans="1:8" ht="15.75" thickBot="1" x14ac:dyDescent="0.3">
      <c r="A14" t="s">
        <v>8</v>
      </c>
    </row>
    <row r="15" spans="1:8" x14ac:dyDescent="0.25">
      <c r="B15" s="7"/>
      <c r="C15" s="7"/>
      <c r="D15" s="7" t="s">
        <v>80</v>
      </c>
      <c r="E15" s="7" t="s">
        <v>89</v>
      </c>
      <c r="F15" s="7" t="s">
        <v>91</v>
      </c>
      <c r="G15" s="7" t="s">
        <v>86</v>
      </c>
      <c r="H15" s="7" t="s">
        <v>86</v>
      </c>
    </row>
    <row r="16" spans="1:8" ht="15.75" thickBot="1" x14ac:dyDescent="0.3">
      <c r="B16" s="8" t="s">
        <v>34</v>
      </c>
      <c r="C16" s="8" t="s">
        <v>35</v>
      </c>
      <c r="D16" s="8" t="s">
        <v>81</v>
      </c>
      <c r="E16" s="8" t="s">
        <v>90</v>
      </c>
      <c r="F16" s="8" t="s">
        <v>92</v>
      </c>
      <c r="G16" s="8" t="s">
        <v>87</v>
      </c>
      <c r="H16" s="8" t="s">
        <v>88</v>
      </c>
    </row>
    <row r="17" spans="2:8" x14ac:dyDescent="0.25">
      <c r="B17" s="4" t="s">
        <v>55</v>
      </c>
      <c r="C17" s="4" t="s">
        <v>56</v>
      </c>
      <c r="D17" s="4">
        <v>16500</v>
      </c>
      <c r="E17" s="4">
        <v>0</v>
      </c>
      <c r="F17" s="4">
        <v>20000</v>
      </c>
      <c r="G17" s="4">
        <v>1E+30</v>
      </c>
      <c r="H17" s="4">
        <v>3500.0000000000009</v>
      </c>
    </row>
    <row r="18" spans="2:8" x14ac:dyDescent="0.25">
      <c r="B18" s="4" t="s">
        <v>59</v>
      </c>
      <c r="C18" s="4" t="s">
        <v>60</v>
      </c>
      <c r="D18" s="4">
        <v>20000</v>
      </c>
      <c r="E18" s="4">
        <v>0.1666666666666666</v>
      </c>
      <c r="F18" s="4">
        <v>20000</v>
      </c>
      <c r="G18" s="4">
        <v>7000.0000000000045</v>
      </c>
      <c r="H18" s="4">
        <v>999.99999999999932</v>
      </c>
    </row>
    <row r="19" spans="2:8" x14ac:dyDescent="0.25">
      <c r="B19" s="4" t="s">
        <v>63</v>
      </c>
      <c r="C19" s="4" t="s">
        <v>64</v>
      </c>
      <c r="D19" s="4">
        <v>1499.9999999999995</v>
      </c>
      <c r="E19" s="4">
        <v>0</v>
      </c>
      <c r="F19" s="4">
        <v>1000</v>
      </c>
      <c r="G19" s="4">
        <v>499.99999999999955</v>
      </c>
      <c r="H19" s="4">
        <v>1E+30</v>
      </c>
    </row>
    <row r="20" spans="2:8" x14ac:dyDescent="0.25">
      <c r="B20" s="4" t="s">
        <v>66</v>
      </c>
      <c r="C20" s="4" t="s">
        <v>67</v>
      </c>
      <c r="D20" s="4">
        <v>1000</v>
      </c>
      <c r="E20" s="4">
        <v>-0.33333333333333326</v>
      </c>
      <c r="F20" s="4">
        <v>1000</v>
      </c>
      <c r="G20" s="4">
        <v>1750.0000000000005</v>
      </c>
      <c r="H20" s="4">
        <v>1000</v>
      </c>
    </row>
    <row r="21" spans="2:8" x14ac:dyDescent="0.25">
      <c r="B21" s="4" t="s">
        <v>69</v>
      </c>
      <c r="C21" s="4" t="s">
        <v>70</v>
      </c>
      <c r="D21" s="4">
        <v>1000</v>
      </c>
      <c r="E21" s="4">
        <v>-0.33333333333333309</v>
      </c>
      <c r="F21" s="4">
        <v>1000</v>
      </c>
      <c r="G21" s="4">
        <v>499.99999999999977</v>
      </c>
      <c r="H21" s="4">
        <v>1000</v>
      </c>
    </row>
    <row r="22" spans="2:8" x14ac:dyDescent="0.25">
      <c r="B22" s="4" t="s">
        <v>72</v>
      </c>
      <c r="C22" s="4" t="s">
        <v>73</v>
      </c>
      <c r="D22" s="4">
        <v>2833.333333333333</v>
      </c>
      <c r="E22" s="4">
        <v>0</v>
      </c>
      <c r="F22" s="4">
        <v>1000</v>
      </c>
      <c r="G22" s="4">
        <v>1833.3333333333335</v>
      </c>
      <c r="H22" s="4">
        <v>1E+30</v>
      </c>
    </row>
    <row r="23" spans="2:8" ht="15.75" thickBot="1" x14ac:dyDescent="0.3">
      <c r="B23" s="2" t="s">
        <v>75</v>
      </c>
      <c r="C23" s="2" t="s">
        <v>76</v>
      </c>
      <c r="D23" s="2">
        <v>15000</v>
      </c>
      <c r="E23" s="2">
        <v>0.5</v>
      </c>
      <c r="F23" s="2">
        <v>15000</v>
      </c>
      <c r="G23" s="2">
        <v>999.99999999999932</v>
      </c>
      <c r="H23" s="2">
        <v>3666.666666666667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8204-4DF3-434D-BDFB-DD4FD7431BB5}">
  <dimension ref="A1:J16"/>
  <sheetViews>
    <sheetView showGridLines="0" workbookViewId="0">
      <selection activeCell="L5" sqref="L5"/>
    </sheetView>
  </sheetViews>
  <sheetFormatPr defaultRowHeight="15" x14ac:dyDescent="0.25"/>
  <cols>
    <col min="1" max="1" width="2.28515625" customWidth="1"/>
    <col min="2" max="2" width="6.5703125" bestFit="1" customWidth="1"/>
    <col min="3" max="3" width="8.28515625" bestFit="1" customWidth="1"/>
    <col min="4" max="4" width="8" bestFit="1" customWidth="1"/>
    <col min="5" max="5" width="2.28515625" customWidth="1"/>
    <col min="6" max="6" width="7.7109375" bestFit="1" customWidth="1"/>
    <col min="7" max="7" width="9.85546875" bestFit="1" customWidth="1"/>
    <col min="8" max="8" width="2.28515625" customWidth="1"/>
    <col min="9" max="9" width="8.5703125" bestFit="1" customWidth="1"/>
    <col min="10" max="10" width="9.85546875" bestFit="1" customWidth="1"/>
  </cols>
  <sheetData>
    <row r="1" spans="1:10" x14ac:dyDescent="0.25">
      <c r="A1" s="1" t="s">
        <v>93</v>
      </c>
    </row>
    <row r="2" spans="1:10" x14ac:dyDescent="0.25">
      <c r="A2" s="1" t="s">
        <v>23</v>
      </c>
    </row>
    <row r="3" spans="1:10" x14ac:dyDescent="0.25">
      <c r="A3" s="1" t="s">
        <v>79</v>
      </c>
    </row>
    <row r="5" spans="1:10" ht="15.75" thickBot="1" x14ac:dyDescent="0.3"/>
    <row r="6" spans="1:10" x14ac:dyDescent="0.25">
      <c r="B6" s="7"/>
      <c r="C6" s="7" t="s">
        <v>84</v>
      </c>
      <c r="D6" s="7"/>
    </row>
    <row r="7" spans="1:10" ht="15.75" thickBot="1" x14ac:dyDescent="0.3">
      <c r="B7" s="8" t="s">
        <v>34</v>
      </c>
      <c r="C7" s="8" t="s">
        <v>35</v>
      </c>
      <c r="D7" s="8" t="s">
        <v>81</v>
      </c>
    </row>
    <row r="8" spans="1:10" ht="15.75" thickBot="1" x14ac:dyDescent="0.3">
      <c r="B8" s="2" t="s">
        <v>44</v>
      </c>
      <c r="C8" s="2" t="s">
        <v>45</v>
      </c>
      <c r="D8" s="5">
        <v>10166.666666666666</v>
      </c>
    </row>
    <row r="10" spans="1:10" ht="15.75" thickBot="1" x14ac:dyDescent="0.3"/>
    <row r="11" spans="1:10" x14ac:dyDescent="0.25">
      <c r="B11" s="7"/>
      <c r="C11" s="7" t="s">
        <v>94</v>
      </c>
      <c r="D11" s="7"/>
      <c r="F11" s="7" t="s">
        <v>95</v>
      </c>
      <c r="G11" s="7" t="s">
        <v>84</v>
      </c>
      <c r="I11" s="7" t="s">
        <v>98</v>
      </c>
      <c r="J11" s="7" t="s">
        <v>84</v>
      </c>
    </row>
    <row r="12" spans="1:10" ht="15.75" thickBot="1" x14ac:dyDescent="0.3">
      <c r="B12" s="8" t="s">
        <v>34</v>
      </c>
      <c r="C12" s="8" t="s">
        <v>35</v>
      </c>
      <c r="D12" s="8" t="s">
        <v>81</v>
      </c>
      <c r="F12" s="8" t="s">
        <v>96</v>
      </c>
      <c r="G12" s="8" t="s">
        <v>97</v>
      </c>
      <c r="I12" s="8" t="s">
        <v>96</v>
      </c>
      <c r="J12" s="8" t="s">
        <v>97</v>
      </c>
    </row>
    <row r="13" spans="1:10" x14ac:dyDescent="0.25">
      <c r="B13" s="4" t="s">
        <v>46</v>
      </c>
      <c r="C13" s="4" t="s">
        <v>47</v>
      </c>
      <c r="D13" s="6">
        <v>1499.9999999999995</v>
      </c>
      <c r="F13" s="6">
        <v>1000</v>
      </c>
      <c r="G13" s="6">
        <v>9666.6666666666661</v>
      </c>
      <c r="I13" s="6">
        <v>1500</v>
      </c>
      <c r="J13" s="6">
        <v>10166.666666666666</v>
      </c>
    </row>
    <row r="14" spans="1:10" x14ac:dyDescent="0.25">
      <c r="B14" s="4" t="s">
        <v>49</v>
      </c>
      <c r="C14" s="4" t="s">
        <v>50</v>
      </c>
      <c r="D14" s="6">
        <v>1000</v>
      </c>
      <c r="F14" s="6">
        <v>1000</v>
      </c>
      <c r="G14" s="6">
        <v>10166.666666666666</v>
      </c>
      <c r="I14" s="6">
        <v>1000</v>
      </c>
      <c r="J14" s="6">
        <v>10166.666666666666</v>
      </c>
    </row>
    <row r="15" spans="1:10" x14ac:dyDescent="0.25">
      <c r="B15" s="4" t="s">
        <v>51</v>
      </c>
      <c r="C15" s="4" t="s">
        <v>52</v>
      </c>
      <c r="D15" s="6">
        <v>1000</v>
      </c>
      <c r="F15" s="6">
        <v>1000</v>
      </c>
      <c r="G15" s="6">
        <v>10166.666666666666</v>
      </c>
      <c r="I15" s="6">
        <v>1000</v>
      </c>
      <c r="J15" s="6">
        <v>10166.666666666666</v>
      </c>
    </row>
    <row r="16" spans="1:10" ht="15.75" thickBot="1" x14ac:dyDescent="0.3">
      <c r="B16" s="2" t="s">
        <v>53</v>
      </c>
      <c r="C16" s="2" t="s">
        <v>54</v>
      </c>
      <c r="D16" s="5">
        <v>2833.333333333333</v>
      </c>
      <c r="F16" s="5">
        <v>1000</v>
      </c>
      <c r="G16" s="5">
        <v>6500</v>
      </c>
      <c r="I16" s="5">
        <v>2833.333333333333</v>
      </c>
      <c r="J16" s="5">
        <v>10166.666666666666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AE768-9CF6-49CE-B29C-9FB188460362}">
  <dimension ref="A1:H15"/>
  <sheetViews>
    <sheetView tabSelected="1" workbookViewId="0">
      <selection activeCell="J5" sqref="J5"/>
    </sheetView>
  </sheetViews>
  <sheetFormatPr defaultRowHeight="15" x14ac:dyDescent="0.25"/>
  <cols>
    <col min="2" max="2" width="12.140625" bestFit="1" customWidth="1"/>
    <col min="3" max="4" width="5" bestFit="1" customWidth="1"/>
    <col min="6" max="6" width="12" bestFit="1" customWidth="1"/>
    <col min="7" max="7" width="7.85546875" bestFit="1" customWidth="1"/>
  </cols>
  <sheetData>
    <row r="1" spans="1:8" x14ac:dyDescent="0.25">
      <c r="A1" t="s">
        <v>3</v>
      </c>
      <c r="B1" t="s">
        <v>2</v>
      </c>
    </row>
    <row r="2" spans="1:8" x14ac:dyDescent="0.25">
      <c r="B2" t="s">
        <v>4</v>
      </c>
      <c r="C2" t="s">
        <v>5</v>
      </c>
      <c r="D2" t="s">
        <v>6</v>
      </c>
      <c r="E2" t="s">
        <v>7</v>
      </c>
    </row>
    <row r="3" spans="1:8" x14ac:dyDescent="0.25">
      <c r="B3">
        <v>1</v>
      </c>
      <c r="C3">
        <v>1</v>
      </c>
      <c r="D3">
        <v>2</v>
      </c>
      <c r="E3">
        <v>2</v>
      </c>
    </row>
    <row r="4" spans="1:8" x14ac:dyDescent="0.25">
      <c r="A4" t="s">
        <v>1</v>
      </c>
      <c r="B4">
        <v>1499.9999999999995</v>
      </c>
      <c r="C4">
        <v>1000</v>
      </c>
      <c r="D4">
        <v>1000</v>
      </c>
      <c r="E4">
        <v>2833.333333333333</v>
      </c>
    </row>
    <row r="5" spans="1:8" x14ac:dyDescent="0.25">
      <c r="A5" t="s">
        <v>0</v>
      </c>
      <c r="B5">
        <f>B4*B3+C4*C3+D4*D3+E4*E3</f>
        <v>10166.666666666666</v>
      </c>
    </row>
    <row r="7" spans="1:8" x14ac:dyDescent="0.25">
      <c r="A7" t="s">
        <v>8</v>
      </c>
      <c r="B7" t="s">
        <v>2</v>
      </c>
    </row>
    <row r="8" spans="1:8" x14ac:dyDescent="0.25">
      <c r="A8" t="s">
        <v>9</v>
      </c>
      <c r="B8" t="s">
        <v>4</v>
      </c>
      <c r="C8" t="s">
        <v>5</v>
      </c>
      <c r="D8" t="s">
        <v>6</v>
      </c>
      <c r="E8" t="s">
        <v>7</v>
      </c>
      <c r="F8" t="s">
        <v>13</v>
      </c>
      <c r="G8" t="s">
        <v>14</v>
      </c>
      <c r="H8" t="s">
        <v>15</v>
      </c>
    </row>
    <row r="9" spans="1:8" x14ac:dyDescent="0.25">
      <c r="A9" t="s">
        <v>10</v>
      </c>
      <c r="B9">
        <v>1</v>
      </c>
      <c r="C9">
        <v>2</v>
      </c>
      <c r="D9">
        <v>3</v>
      </c>
      <c r="E9">
        <v>3</v>
      </c>
      <c r="F9">
        <f>B9*B4+C9*C4+D9*D4+E9*E4</f>
        <v>15000</v>
      </c>
      <c r="G9" t="s">
        <v>20</v>
      </c>
      <c r="H9">
        <v>15000</v>
      </c>
    </row>
    <row r="10" spans="1:8" x14ac:dyDescent="0.25">
      <c r="A10" t="s">
        <v>11</v>
      </c>
      <c r="B10">
        <v>2</v>
      </c>
      <c r="C10">
        <v>4</v>
      </c>
      <c r="D10">
        <v>1</v>
      </c>
      <c r="E10">
        <v>3</v>
      </c>
      <c r="F10">
        <f>B10*B4+C10*C4+D10*D4+E10*E4</f>
        <v>16500</v>
      </c>
      <c r="G10" t="s">
        <v>20</v>
      </c>
      <c r="H10">
        <v>20000</v>
      </c>
    </row>
    <row r="11" spans="1:8" x14ac:dyDescent="0.25">
      <c r="A11" t="s">
        <v>12</v>
      </c>
      <c r="B11">
        <v>3</v>
      </c>
      <c r="C11">
        <v>2</v>
      </c>
      <c r="D11">
        <v>5</v>
      </c>
      <c r="E11">
        <v>3</v>
      </c>
      <c r="F11">
        <f>B11*B4+C11*C4+D11*D4+E11*E4</f>
        <v>20000</v>
      </c>
      <c r="G11" t="s">
        <v>20</v>
      </c>
      <c r="H11">
        <v>20000</v>
      </c>
    </row>
    <row r="12" spans="1:8" x14ac:dyDescent="0.25">
      <c r="A12" t="s">
        <v>16</v>
      </c>
      <c r="B12">
        <v>1</v>
      </c>
      <c r="F12">
        <f>B12*B4</f>
        <v>1499.9999999999995</v>
      </c>
      <c r="G12" t="s">
        <v>21</v>
      </c>
      <c r="H12">
        <v>1000</v>
      </c>
    </row>
    <row r="13" spans="1:8" x14ac:dyDescent="0.25">
      <c r="A13" t="s">
        <v>17</v>
      </c>
      <c r="C13">
        <v>1</v>
      </c>
      <c r="F13">
        <f>C13*C4</f>
        <v>1000</v>
      </c>
      <c r="G13" t="s">
        <v>21</v>
      </c>
      <c r="H13">
        <v>1000</v>
      </c>
    </row>
    <row r="14" spans="1:8" x14ac:dyDescent="0.25">
      <c r="A14" t="s">
        <v>18</v>
      </c>
      <c r="D14">
        <v>1</v>
      </c>
      <c r="F14">
        <f>D14*D4</f>
        <v>1000</v>
      </c>
      <c r="G14" t="s">
        <v>21</v>
      </c>
      <c r="H14">
        <v>1000</v>
      </c>
    </row>
    <row r="15" spans="1:8" x14ac:dyDescent="0.25">
      <c r="A15" t="s">
        <v>19</v>
      </c>
      <c r="E15">
        <v>1</v>
      </c>
      <c r="F15">
        <f>E15*E4</f>
        <v>2833.333333333333</v>
      </c>
      <c r="G15" t="s">
        <v>21</v>
      </c>
      <c r="H15">
        <v>1000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Relatório de Respostas 1</vt:lpstr>
      <vt:lpstr>Relatório de Sensibilidade 1</vt:lpstr>
      <vt:lpstr>Relatório de Limites 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Belem Biavati</dc:creator>
  <cp:lastModifiedBy>Renan Belem Biavati</cp:lastModifiedBy>
  <dcterms:created xsi:type="dcterms:W3CDTF">2024-03-18T21:36:37Z</dcterms:created>
  <dcterms:modified xsi:type="dcterms:W3CDTF">2024-03-18T23:06:48Z</dcterms:modified>
</cp:coreProperties>
</file>