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7b49e1210148a91/Documentos/Puc/"/>
    </mc:Choice>
  </mc:AlternateContent>
  <xr:revisionPtr revIDLastSave="799" documentId="13_ncr:1_{7274C108-C34C-4B63-B063-43C6932D091B}" xr6:coauthVersionLast="47" xr6:coauthVersionMax="47" xr10:uidLastSave="{64BC61FB-7291-470D-A78F-0C7E0D3363AD}"/>
  <bookViews>
    <workbookView xWindow="-120" yWindow="-120" windowWidth="20730" windowHeight="11160" firstSheet="5" activeTab="5" xr2:uid="{36777189-6DF9-48B5-A79D-11E7E305EBA2}"/>
  </bookViews>
  <sheets>
    <sheet name="Relatório de Respostas 1" sheetId="2" r:id="rId1"/>
    <sheet name="Relatório de Respostas 2" sheetId="3" r:id="rId2"/>
    <sheet name="Relatório de Sensibilidade 1" sheetId="4" r:id="rId3"/>
    <sheet name="Relatório de Limites 1" sheetId="5" r:id="rId4"/>
    <sheet name="Relatório de Respostas 3" sheetId="6" r:id="rId5"/>
    <sheet name="Relatório de Sensibilidade 2" sheetId="7" r:id="rId6"/>
    <sheet name="Relatório de Limites 2" sheetId="8" r:id="rId7"/>
    <sheet name="Planilha1" sheetId="1" r:id="rId8"/>
  </sheets>
  <definedNames>
    <definedName name="solver_adj" localSheetId="7" hidden="1">Planilha1!$B$4,Planilha1!$C$4,Planilha1!$D$4</definedName>
    <definedName name="solver_cvg" localSheetId="7" hidden="1">0.0001</definedName>
    <definedName name="solver_drv" localSheetId="7" hidden="1">2</definedName>
    <definedName name="solver_eng" localSheetId="7" hidden="1">2</definedName>
    <definedName name="solver_est" localSheetId="7" hidden="1">1</definedName>
    <definedName name="solver_itr" localSheetId="7" hidden="1">2147483647</definedName>
    <definedName name="solver_lhs0" localSheetId="7" hidden="1">Planilha1!$E$9</definedName>
    <definedName name="solver_lhs1" localSheetId="7" hidden="1">Planilha1!$E$10</definedName>
    <definedName name="solver_lhs2" localSheetId="7" hidden="1">Planilha1!$E$9</definedName>
    <definedName name="solver_lhs3" localSheetId="7" hidden="1">Planilha1!$E$12</definedName>
    <definedName name="solver_lhs4" localSheetId="7" hidden="1">Planilha1!$E$13</definedName>
    <definedName name="solver_lhs5" localSheetId="7" hidden="1">Planilha1!$E$14</definedName>
    <definedName name="solver_lhs6" localSheetId="7" hidden="1">Planilha1!$E$9</definedName>
    <definedName name="solver_lhs7" localSheetId="7" hidden="1">Planilha1!$E$9</definedName>
    <definedName name="solver_mip" localSheetId="7" hidden="1">2147483647</definedName>
    <definedName name="solver_mni" localSheetId="7" hidden="1">30</definedName>
    <definedName name="solver_mrt" localSheetId="7" hidden="1">0.075</definedName>
    <definedName name="solver_msl" localSheetId="7" hidden="1">2</definedName>
    <definedName name="solver_neg" localSheetId="7" hidden="1">1</definedName>
    <definedName name="solver_nod" localSheetId="7" hidden="1">2147483647</definedName>
    <definedName name="solver_num" localSheetId="7" hidden="1">2</definedName>
    <definedName name="solver_nwt" localSheetId="7" hidden="1">1</definedName>
    <definedName name="solver_opt" localSheetId="7" hidden="1">Planilha1!$B$5</definedName>
    <definedName name="solver_pre" localSheetId="7" hidden="1">0.000001</definedName>
    <definedName name="solver_rbv" localSheetId="7" hidden="1">2</definedName>
    <definedName name="solver_rel0" localSheetId="7" hidden="1">1</definedName>
    <definedName name="solver_rel1" localSheetId="7" hidden="1">3</definedName>
    <definedName name="solver_rel2" localSheetId="7" hidden="1">3</definedName>
    <definedName name="solver_rel3" localSheetId="7" hidden="1">1</definedName>
    <definedName name="solver_rel4" localSheetId="7" hidden="1">1</definedName>
    <definedName name="solver_rel5" localSheetId="7" hidden="1">2</definedName>
    <definedName name="solver_rel6" localSheetId="7" hidden="1">1</definedName>
    <definedName name="solver_rel7" localSheetId="7" hidden="1">1</definedName>
    <definedName name="solver_rhs0" localSheetId="7" hidden="1">Planilha1!$F$9</definedName>
    <definedName name="solver_rhs1" localSheetId="7" hidden="1">Planilha1!$F$10</definedName>
    <definedName name="solver_rhs2" localSheetId="7" hidden="1">Planilha1!$F$9</definedName>
    <definedName name="solver_rhs3" localSheetId="7" hidden="1">Planilha1!$F$12</definedName>
    <definedName name="solver_rhs4" localSheetId="7" hidden="1">Planilha1!$F$13</definedName>
    <definedName name="solver_rhs5" localSheetId="7" hidden="1">Planilha1!$F$14</definedName>
    <definedName name="solver_rhs6" localSheetId="7" hidden="1">Planilha1!$F$9</definedName>
    <definedName name="solver_rhs7" localSheetId="7" hidden="1">Planilha1!$F$9</definedName>
    <definedName name="solver_rlx" localSheetId="7" hidden="1">2</definedName>
    <definedName name="solver_rsd" localSheetId="7" hidden="1">0</definedName>
    <definedName name="solver_scl" localSheetId="7" hidden="1">2</definedName>
    <definedName name="solver_sho" localSheetId="7" hidden="1">2</definedName>
    <definedName name="solver_sho" localSheetId="3" hidden="1">2</definedName>
    <definedName name="solver_sho" localSheetId="6" hidden="1">2</definedName>
    <definedName name="solver_ssz" localSheetId="7" hidden="1">100</definedName>
    <definedName name="solver_tim" localSheetId="7" hidden="1">2147483647</definedName>
    <definedName name="solver_tol" localSheetId="7" hidden="1">0.01</definedName>
    <definedName name="solver_typ" localSheetId="7" hidden="1">1</definedName>
    <definedName name="solver_val" localSheetId="7" hidden="1">0</definedName>
    <definedName name="solver_ver" localSheetId="7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E9" i="1"/>
  <c r="B5" i="1"/>
</calcChain>
</file>

<file path=xl/sharedStrings.xml><?xml version="1.0" encoding="utf-8"?>
<sst xmlns="http://schemas.openxmlformats.org/spreadsheetml/2006/main" count="311" uniqueCount="87">
  <si>
    <t>Coeficientes das Variáveis de Decisão</t>
  </si>
  <si>
    <t>x1</t>
  </si>
  <si>
    <t>x2</t>
  </si>
  <si>
    <t>Variáveis</t>
  </si>
  <si>
    <t>z</t>
  </si>
  <si>
    <t>Restrições</t>
  </si>
  <si>
    <t>Função objetivo</t>
  </si>
  <si>
    <t>nº</t>
  </si>
  <si>
    <t>Equação</t>
  </si>
  <si>
    <t>Constante</t>
  </si>
  <si>
    <t>Microsoft Excel 16.0 Relatório de Respostas</t>
  </si>
  <si>
    <t>Planilha: [Pasta1]Planilha1</t>
  </si>
  <si>
    <t>Relatório Criado: 11/03/2024 19:25:41</t>
  </si>
  <si>
    <t>Resultado: O Solver encontrou uma solução.  Todas as Restrições e condições de adequação foram satisfeitas.</t>
  </si>
  <si>
    <t>Mecanismo do Solver</t>
  </si>
  <si>
    <t>Mecanismo: LP Simplex</t>
  </si>
  <si>
    <t>Tempo da Solução: 0,125 Segundos.</t>
  </si>
  <si>
    <t>Iterações: 2 Subproblemas: 0</t>
  </si>
  <si>
    <t>Opções do Solver</t>
  </si>
  <si>
    <t>Tempo Máx. Ilimitado,  Iterações Ilimitado, Precision 0,000001</t>
  </si>
  <si>
    <t>Subproblemas Máx. Ilimitado, Soluç. Máx. Núm. Inteiro Ilimitado, Tolerância de Número Inteiro 1%, Assumir Não Negativo</t>
  </si>
  <si>
    <t>Célula do Objetivo (Máx.)</t>
  </si>
  <si>
    <t>Célula</t>
  </si>
  <si>
    <t>Nome</t>
  </si>
  <si>
    <t>Valor Original</t>
  </si>
  <si>
    <t>Valor Final</t>
  </si>
  <si>
    <t>Células Variáveis</t>
  </si>
  <si>
    <t>Número Inteiro</t>
  </si>
  <si>
    <t>Valor da Célula</t>
  </si>
  <si>
    <t>Fórmula</t>
  </si>
  <si>
    <t>Status</t>
  </si>
  <si>
    <t>Margem de Atraso</t>
  </si>
  <si>
    <t>$B$5</t>
  </si>
  <si>
    <t>z x1</t>
  </si>
  <si>
    <t>$B$4</t>
  </si>
  <si>
    <t>Variáveis x1</t>
  </si>
  <si>
    <t>Conting.</t>
  </si>
  <si>
    <t>$C$4</t>
  </si>
  <si>
    <t>Variáveis x2</t>
  </si>
  <si>
    <t>$D$10</t>
  </si>
  <si>
    <t>$D$10&lt;=$E$10</t>
  </si>
  <si>
    <t>Associação</t>
  </si>
  <si>
    <t>$D$9</t>
  </si>
  <si>
    <t>$D$9&lt;=$E$9</t>
  </si>
  <si>
    <t>x3</t>
  </si>
  <si>
    <t>Planilha: [SolverVariaveisFolga.xlsx]Planilha1</t>
  </si>
  <si>
    <t>Relatório Criado: 13/03/2024 15:45:56</t>
  </si>
  <si>
    <t>Tempo da Solução: 0,016 Segundos.</t>
  </si>
  <si>
    <t>Iterações: 4 Subproblemas: 0</t>
  </si>
  <si>
    <t>$D$4</t>
  </si>
  <si>
    <t>Variáveis x3</t>
  </si>
  <si>
    <t>$E$10</t>
  </si>
  <si>
    <t>$E$10&lt;=$F$10</t>
  </si>
  <si>
    <t>$E$11</t>
  </si>
  <si>
    <t>$E$11&lt;=$F$11</t>
  </si>
  <si>
    <t>Não-associação</t>
  </si>
  <si>
    <t>$E$12</t>
  </si>
  <si>
    <t>$E$12&lt;=$F$12</t>
  </si>
  <si>
    <t>$E$13</t>
  </si>
  <si>
    <t>$E$13&lt;=$F$13</t>
  </si>
  <si>
    <t>$E$14</t>
  </si>
  <si>
    <t>$E$14=$F$14</t>
  </si>
  <si>
    <t>$E$9</t>
  </si>
  <si>
    <t>$E$9&lt;=$F$9</t>
  </si>
  <si>
    <t>Microsoft Excel 16.0 Relatório de Sensibilidade</t>
  </si>
  <si>
    <t>Relatório Criado: 13/03/2024 15:45:57</t>
  </si>
  <si>
    <t>Final</t>
  </si>
  <si>
    <t>Valor</t>
  </si>
  <si>
    <t>Reduzido</t>
  </si>
  <si>
    <t>Custo</t>
  </si>
  <si>
    <t>Objetivo</t>
  </si>
  <si>
    <t>Coeficiente</t>
  </si>
  <si>
    <t>Permitido</t>
  </si>
  <si>
    <t>Aumentar</t>
  </si>
  <si>
    <t>Reduzir</t>
  </si>
  <si>
    <t>Sombra</t>
  </si>
  <si>
    <t>Preço</t>
  </si>
  <si>
    <t>Restrição</t>
  </si>
  <si>
    <t>Lateral R.H.</t>
  </si>
  <si>
    <t>Microsoft Excel 16.0 Relatório de Limites</t>
  </si>
  <si>
    <t>Variável</t>
  </si>
  <si>
    <t>Inferior</t>
  </si>
  <si>
    <t>Limite</t>
  </si>
  <si>
    <t>Resultado</t>
  </si>
  <si>
    <t>Superior</t>
  </si>
  <si>
    <t>Relatório Criado: 04/04/2024 14:53:28</t>
  </si>
  <si>
    <t>Tempo da Solução: 0,157 Segundos.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</si>
</sst>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2" xfId="0" applyBorder="1"/>
    <xf numFmtId="0" fontId="2" fillId="0" borderId="1" xfId="0" applyFont="1" applyBorder="1" applyAlignment="1">
      <alignment horizontal="center"/>
    </xf>
    <xf numFmtId="0" fontId="0" fillId="0" borderId="3" xfId="0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2" xfId="0" applyFill="1" applyBorder="1" applyAlignment="1"/>
    <xf numFmtId="0" fontId="2" fillId="0" borderId="1" xfId="0" applyFont="1" applyFill="1" applyBorder="1" applyAlignment="1">
      <alignment horizontal="center"/>
    </xf>
    <xf numFmtId="0" fontId="0" fillId="0" borderId="3" xfId="0" applyFill="1" applyBorder="1" applyAlignment="1"/>
    <xf numFmtId="0" fontId="0" fillId="0" borderId="2" xfId="0" applyNumberFormat="1" applyFill="1" applyBorder="1" applyAlignment="1"/>
    <xf numFmtId="0" fontId="0" fillId="0" borderId="3" xfId="0" applyNumberFormat="1" applyFill="1" applyBorder="1" applyAlignment="1"/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BB1E5-7E5C-42B0-B297-55CD864252D5}">
  <dimension ref="A1:G28"/>
  <sheetViews>
    <sheetView showGridLines="0" topLeftCell="A18" workbookViewId="0"/>
  </sheetViews>
  <sheetFormatPr defaultRowHeight="15" x14ac:dyDescent="0.25"/>
  <cols>
    <col min="1" max="1" width="2.28515625" customWidth="1"/>
    <col min="2" max="2" width="6.5703125" bestFit="1" customWidth="1"/>
    <col min="3" max="3" width="11.5703125" bestFit="1" customWidth="1"/>
    <col min="4" max="4" width="14.42578125" bestFit="1" customWidth="1"/>
    <col min="5" max="5" width="13.42578125" bestFit="1" customWidth="1"/>
    <col min="6" max="6" width="14.85546875" bestFit="1" customWidth="1"/>
    <col min="7" max="7" width="17.5703125" bestFit="1" customWidth="1"/>
  </cols>
  <sheetData>
    <row r="1" spans="1:5" x14ac:dyDescent="0.25">
      <c r="A1" s="1" t="s">
        <v>10</v>
      </c>
    </row>
    <row r="2" spans="1:5" x14ac:dyDescent="0.25">
      <c r="A2" s="1" t="s">
        <v>11</v>
      </c>
    </row>
    <row r="3" spans="1:5" x14ac:dyDescent="0.25">
      <c r="A3" s="1" t="s">
        <v>12</v>
      </c>
    </row>
    <row r="4" spans="1:5" x14ac:dyDescent="0.25">
      <c r="A4" s="1" t="s">
        <v>13</v>
      </c>
    </row>
    <row r="5" spans="1:5" x14ac:dyDescent="0.25">
      <c r="A5" s="1" t="s">
        <v>14</v>
      </c>
    </row>
    <row r="6" spans="1:5" x14ac:dyDescent="0.25">
      <c r="A6" s="1"/>
      <c r="B6" t="s">
        <v>15</v>
      </c>
    </row>
    <row r="7" spans="1:5" x14ac:dyDescent="0.25">
      <c r="A7" s="1"/>
      <c r="B7" t="s">
        <v>16</v>
      </c>
    </row>
    <row r="8" spans="1:5" x14ac:dyDescent="0.25">
      <c r="A8" s="1"/>
      <c r="B8" t="s">
        <v>17</v>
      </c>
    </row>
    <row r="9" spans="1:5" x14ac:dyDescent="0.25">
      <c r="A9" s="1" t="s">
        <v>18</v>
      </c>
    </row>
    <row r="10" spans="1:5" x14ac:dyDescent="0.25">
      <c r="B10" t="s">
        <v>19</v>
      </c>
    </row>
    <row r="11" spans="1:5" x14ac:dyDescent="0.25">
      <c r="B11" t="s">
        <v>20</v>
      </c>
    </row>
    <row r="14" spans="1:5" ht="15.75" thickBot="1" x14ac:dyDescent="0.3">
      <c r="A14" t="s">
        <v>21</v>
      </c>
    </row>
    <row r="15" spans="1:5" ht="15.75" thickBot="1" x14ac:dyDescent="0.3">
      <c r="B15" s="3" t="s">
        <v>22</v>
      </c>
      <c r="C15" s="3" t="s">
        <v>23</v>
      </c>
      <c r="D15" s="3" t="s">
        <v>24</v>
      </c>
      <c r="E15" s="3" t="s">
        <v>25</v>
      </c>
    </row>
    <row r="16" spans="1:5" ht="15.75" thickBot="1" x14ac:dyDescent="0.3">
      <c r="B16" s="2" t="s">
        <v>32</v>
      </c>
      <c r="C16" s="2" t="s">
        <v>33</v>
      </c>
      <c r="D16" s="2">
        <v>0</v>
      </c>
      <c r="E16" s="2">
        <v>10.4</v>
      </c>
    </row>
    <row r="19" spans="1:7" ht="15.75" thickBot="1" x14ac:dyDescent="0.3">
      <c r="A19" t="s">
        <v>26</v>
      </c>
    </row>
    <row r="20" spans="1:7" ht="15.75" thickBot="1" x14ac:dyDescent="0.3">
      <c r="B20" s="3" t="s">
        <v>22</v>
      </c>
      <c r="C20" s="3" t="s">
        <v>23</v>
      </c>
      <c r="D20" s="3" t="s">
        <v>24</v>
      </c>
      <c r="E20" s="3" t="s">
        <v>25</v>
      </c>
      <c r="F20" s="3" t="s">
        <v>27</v>
      </c>
    </row>
    <row r="21" spans="1:7" x14ac:dyDescent="0.25">
      <c r="B21" s="4" t="s">
        <v>34</v>
      </c>
      <c r="C21" s="4" t="s">
        <v>35</v>
      </c>
      <c r="D21" s="4">
        <v>0</v>
      </c>
      <c r="E21" s="4">
        <v>2.4000000000000004</v>
      </c>
      <c r="F21" s="4" t="s">
        <v>36</v>
      </c>
    </row>
    <row r="22" spans="1:7" ht="15.75" thickBot="1" x14ac:dyDescent="0.3">
      <c r="B22" s="2" t="s">
        <v>37</v>
      </c>
      <c r="C22" s="2" t="s">
        <v>38</v>
      </c>
      <c r="D22" s="2">
        <v>0</v>
      </c>
      <c r="E22" s="2">
        <v>0.79999999999999982</v>
      </c>
      <c r="F22" s="2" t="s">
        <v>36</v>
      </c>
    </row>
    <row r="25" spans="1:7" ht="15.75" thickBot="1" x14ac:dyDescent="0.3">
      <c r="A25" t="s">
        <v>5</v>
      </c>
    </row>
    <row r="26" spans="1:7" ht="15.75" thickBot="1" x14ac:dyDescent="0.3">
      <c r="B26" s="3" t="s">
        <v>22</v>
      </c>
      <c r="C26" s="3" t="s">
        <v>23</v>
      </c>
      <c r="D26" s="3" t="s">
        <v>28</v>
      </c>
      <c r="E26" s="3" t="s">
        <v>29</v>
      </c>
      <c r="F26" s="3" t="s">
        <v>30</v>
      </c>
      <c r="G26" s="3" t="s">
        <v>31</v>
      </c>
    </row>
    <row r="27" spans="1:7" x14ac:dyDescent="0.25">
      <c r="B27" s="4" t="s">
        <v>39</v>
      </c>
      <c r="C27" s="4" t="s">
        <v>8</v>
      </c>
      <c r="D27" s="4">
        <v>8</v>
      </c>
      <c r="E27" s="4" t="s">
        <v>40</v>
      </c>
      <c r="F27" s="4" t="s">
        <v>41</v>
      </c>
      <c r="G27" s="4">
        <v>0</v>
      </c>
    </row>
    <row r="28" spans="1:7" ht="15.75" thickBot="1" x14ac:dyDescent="0.3">
      <c r="B28" s="2" t="s">
        <v>42</v>
      </c>
      <c r="C28" s="2" t="s">
        <v>8</v>
      </c>
      <c r="D28" s="2">
        <v>12</v>
      </c>
      <c r="E28" s="2" t="s">
        <v>43</v>
      </c>
      <c r="F28" s="2" t="s">
        <v>41</v>
      </c>
      <c r="G28" s="2">
        <v>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9DE6-8CC4-469C-B278-A532152DA2B6}">
  <dimension ref="A1:G33"/>
  <sheetViews>
    <sheetView showGridLines="0" workbookViewId="0"/>
  </sheetViews>
  <sheetFormatPr defaultRowHeight="15" x14ac:dyDescent="0.25"/>
  <cols>
    <col min="1" max="1" width="2.28515625" customWidth="1"/>
    <col min="2" max="2" width="6.5703125" bestFit="1" customWidth="1"/>
    <col min="3" max="3" width="11.5703125" bestFit="1" customWidth="1"/>
    <col min="4" max="4" width="14.42578125" bestFit="1" customWidth="1"/>
    <col min="5" max="5" width="13.140625" bestFit="1" customWidth="1"/>
    <col min="6" max="6" width="14.85546875" bestFit="1" customWidth="1"/>
    <col min="7" max="7" width="17.5703125" bestFit="1" customWidth="1"/>
  </cols>
  <sheetData>
    <row r="1" spans="1:5" x14ac:dyDescent="0.25">
      <c r="A1" s="1" t="s">
        <v>10</v>
      </c>
    </row>
    <row r="2" spans="1:5" x14ac:dyDescent="0.25">
      <c r="A2" s="1" t="s">
        <v>45</v>
      </c>
    </row>
    <row r="3" spans="1:5" x14ac:dyDescent="0.25">
      <c r="A3" s="1" t="s">
        <v>46</v>
      </c>
    </row>
    <row r="4" spans="1:5" x14ac:dyDescent="0.25">
      <c r="A4" s="1" t="s">
        <v>13</v>
      </c>
    </row>
    <row r="5" spans="1:5" x14ac:dyDescent="0.25">
      <c r="A5" s="1" t="s">
        <v>14</v>
      </c>
    </row>
    <row r="6" spans="1:5" x14ac:dyDescent="0.25">
      <c r="A6" s="1"/>
      <c r="B6" t="s">
        <v>15</v>
      </c>
    </row>
    <row r="7" spans="1:5" x14ac:dyDescent="0.25">
      <c r="A7" s="1"/>
      <c r="B7" t="s">
        <v>47</v>
      </c>
    </row>
    <row r="8" spans="1:5" x14ac:dyDescent="0.25">
      <c r="A8" s="1"/>
      <c r="B8" t="s">
        <v>48</v>
      </c>
    </row>
    <row r="9" spans="1:5" x14ac:dyDescent="0.25">
      <c r="A9" s="1" t="s">
        <v>18</v>
      </c>
    </row>
    <row r="10" spans="1:5" x14ac:dyDescent="0.25">
      <c r="B10" t="s">
        <v>19</v>
      </c>
    </row>
    <row r="11" spans="1:5" x14ac:dyDescent="0.25">
      <c r="B11" t="s">
        <v>20</v>
      </c>
    </row>
    <row r="14" spans="1:5" ht="15.75" thickBot="1" x14ac:dyDescent="0.3">
      <c r="A14" t="s">
        <v>21</v>
      </c>
    </row>
    <row r="15" spans="1:5" ht="15.75" thickBot="1" x14ac:dyDescent="0.3">
      <c r="B15" s="3" t="s">
        <v>22</v>
      </c>
      <c r="C15" s="3" t="s">
        <v>23</v>
      </c>
      <c r="D15" s="3" t="s">
        <v>24</v>
      </c>
      <c r="E15" s="3" t="s">
        <v>25</v>
      </c>
    </row>
    <row r="16" spans="1:5" ht="15.75" thickBot="1" x14ac:dyDescent="0.3">
      <c r="B16" s="2" t="s">
        <v>32</v>
      </c>
      <c r="C16" s="2" t="s">
        <v>33</v>
      </c>
      <c r="D16" s="2">
        <v>2904.7619047619046</v>
      </c>
      <c r="E16" s="2">
        <v>2904.7619047619046</v>
      </c>
    </row>
    <row r="19" spans="1:7" ht="15.75" thickBot="1" x14ac:dyDescent="0.3">
      <c r="A19" t="s">
        <v>26</v>
      </c>
    </row>
    <row r="20" spans="1:7" ht="15.75" thickBot="1" x14ac:dyDescent="0.3">
      <c r="B20" s="3" t="s">
        <v>22</v>
      </c>
      <c r="C20" s="3" t="s">
        <v>23</v>
      </c>
      <c r="D20" s="3" t="s">
        <v>24</v>
      </c>
      <c r="E20" s="3" t="s">
        <v>25</v>
      </c>
      <c r="F20" s="3" t="s">
        <v>27</v>
      </c>
    </row>
    <row r="21" spans="1:7" x14ac:dyDescent="0.25">
      <c r="B21" s="4" t="s">
        <v>34</v>
      </c>
      <c r="C21" s="4" t="s">
        <v>35</v>
      </c>
      <c r="D21" s="4">
        <v>26.190476190476186</v>
      </c>
      <c r="E21" s="4">
        <v>26.190476190476186</v>
      </c>
      <c r="F21" s="4" t="s">
        <v>36</v>
      </c>
    </row>
    <row r="22" spans="1:7" x14ac:dyDescent="0.25">
      <c r="B22" s="4" t="s">
        <v>37</v>
      </c>
      <c r="C22" s="4" t="s">
        <v>38</v>
      </c>
      <c r="D22" s="4">
        <v>54.761904761904773</v>
      </c>
      <c r="E22" s="4">
        <v>54.761904761904773</v>
      </c>
      <c r="F22" s="4" t="s">
        <v>36</v>
      </c>
    </row>
    <row r="23" spans="1:7" ht="15.75" thickBot="1" x14ac:dyDescent="0.3">
      <c r="B23" s="2" t="s">
        <v>49</v>
      </c>
      <c r="C23" s="2" t="s">
        <v>50</v>
      </c>
      <c r="D23" s="2">
        <v>20</v>
      </c>
      <c r="E23" s="2">
        <v>20</v>
      </c>
      <c r="F23" s="2" t="s">
        <v>36</v>
      </c>
    </row>
    <row r="26" spans="1:7" ht="15.75" thickBot="1" x14ac:dyDescent="0.3">
      <c r="A26" t="s">
        <v>5</v>
      </c>
    </row>
    <row r="27" spans="1:7" ht="15.75" thickBot="1" x14ac:dyDescent="0.3">
      <c r="B27" s="3" t="s">
        <v>22</v>
      </c>
      <c r="C27" s="3" t="s">
        <v>23</v>
      </c>
      <c r="D27" s="3" t="s">
        <v>28</v>
      </c>
      <c r="E27" s="3" t="s">
        <v>29</v>
      </c>
      <c r="F27" s="3" t="s">
        <v>30</v>
      </c>
      <c r="G27" s="3" t="s">
        <v>31</v>
      </c>
    </row>
    <row r="28" spans="1:7" x14ac:dyDescent="0.25">
      <c r="B28" s="4" t="s">
        <v>51</v>
      </c>
      <c r="C28" s="4" t="s">
        <v>8</v>
      </c>
      <c r="D28" s="4">
        <v>350</v>
      </c>
      <c r="E28" s="4" t="s">
        <v>52</v>
      </c>
      <c r="F28" s="4" t="s">
        <v>41</v>
      </c>
      <c r="G28" s="4">
        <v>0</v>
      </c>
    </row>
    <row r="29" spans="1:7" x14ac:dyDescent="0.25">
      <c r="B29" s="4" t="s">
        <v>53</v>
      </c>
      <c r="C29" s="4" t="s">
        <v>8</v>
      </c>
      <c r="D29" s="4">
        <v>118.57142857142856</v>
      </c>
      <c r="E29" s="4" t="s">
        <v>54</v>
      </c>
      <c r="F29" s="4" t="s">
        <v>55</v>
      </c>
      <c r="G29" s="4">
        <v>31.428571428571445</v>
      </c>
    </row>
    <row r="30" spans="1:7" x14ac:dyDescent="0.25">
      <c r="B30" s="4" t="s">
        <v>56</v>
      </c>
      <c r="C30" s="4" t="s">
        <v>8</v>
      </c>
      <c r="D30" s="4">
        <v>26.190476190476186</v>
      </c>
      <c r="E30" s="4" t="s">
        <v>57</v>
      </c>
      <c r="F30" s="4" t="s">
        <v>55</v>
      </c>
      <c r="G30" s="4">
        <v>28.809523809523814</v>
      </c>
    </row>
    <row r="31" spans="1:7" x14ac:dyDescent="0.25">
      <c r="B31" s="4" t="s">
        <v>58</v>
      </c>
      <c r="C31" s="4" t="s">
        <v>8</v>
      </c>
      <c r="D31" s="4">
        <v>54.761904761904773</v>
      </c>
      <c r="E31" s="4" t="s">
        <v>59</v>
      </c>
      <c r="F31" s="4" t="s">
        <v>55</v>
      </c>
      <c r="G31" s="4">
        <v>32.238095238095227</v>
      </c>
    </row>
    <row r="32" spans="1:7" x14ac:dyDescent="0.25">
      <c r="B32" s="4" t="s">
        <v>60</v>
      </c>
      <c r="C32" s="4" t="s">
        <v>8</v>
      </c>
      <c r="D32" s="4">
        <v>20</v>
      </c>
      <c r="E32" s="4" t="s">
        <v>61</v>
      </c>
      <c r="F32" s="4" t="s">
        <v>41</v>
      </c>
      <c r="G32" s="4">
        <v>0</v>
      </c>
    </row>
    <row r="33" spans="2:7" ht="15.75" thickBot="1" x14ac:dyDescent="0.3">
      <c r="B33" s="2" t="s">
        <v>62</v>
      </c>
      <c r="C33" s="2" t="s">
        <v>8</v>
      </c>
      <c r="D33" s="2">
        <v>500</v>
      </c>
      <c r="E33" s="2" t="s">
        <v>63</v>
      </c>
      <c r="F33" s="2" t="s">
        <v>41</v>
      </c>
      <c r="G33" s="2">
        <v>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F061B-DF6F-4FFB-A0DE-B82DFCD70C42}">
  <dimension ref="A1:H21"/>
  <sheetViews>
    <sheetView showGridLines="0" workbookViewId="0"/>
  </sheetViews>
  <sheetFormatPr defaultRowHeight="15" x14ac:dyDescent="0.25"/>
  <cols>
    <col min="1" max="1" width="2.28515625" customWidth="1"/>
    <col min="2" max="2" width="6.5703125" bestFit="1" customWidth="1"/>
    <col min="3" max="3" width="11.5703125" bestFit="1" customWidth="1"/>
    <col min="4" max="5" width="12" bestFit="1" customWidth="1"/>
    <col min="6" max="6" width="11.28515625" bestFit="1" customWidth="1"/>
    <col min="7" max="8" width="12" bestFit="1" customWidth="1"/>
  </cols>
  <sheetData>
    <row r="1" spans="1:8" x14ac:dyDescent="0.25">
      <c r="A1" s="1" t="s">
        <v>64</v>
      </c>
    </row>
    <row r="2" spans="1:8" x14ac:dyDescent="0.25">
      <c r="A2" s="1" t="s">
        <v>45</v>
      </c>
    </row>
    <row r="3" spans="1:8" x14ac:dyDescent="0.25">
      <c r="A3" s="1" t="s">
        <v>65</v>
      </c>
    </row>
    <row r="6" spans="1:8" ht="15.75" thickBot="1" x14ac:dyDescent="0.3">
      <c r="A6" t="s">
        <v>26</v>
      </c>
    </row>
    <row r="7" spans="1:8" x14ac:dyDescent="0.25">
      <c r="B7" s="5"/>
      <c r="C7" s="5"/>
      <c r="D7" s="5" t="s">
        <v>66</v>
      </c>
      <c r="E7" s="5" t="s">
        <v>68</v>
      </c>
      <c r="F7" s="5" t="s">
        <v>70</v>
      </c>
      <c r="G7" s="5" t="s">
        <v>72</v>
      </c>
      <c r="H7" s="5" t="s">
        <v>72</v>
      </c>
    </row>
    <row r="8" spans="1:8" ht="15.75" thickBot="1" x14ac:dyDescent="0.3">
      <c r="B8" s="6" t="s">
        <v>22</v>
      </c>
      <c r="C8" s="6" t="s">
        <v>23</v>
      </c>
      <c r="D8" s="6" t="s">
        <v>67</v>
      </c>
      <c r="E8" s="6" t="s">
        <v>69</v>
      </c>
      <c r="F8" s="6" t="s">
        <v>71</v>
      </c>
      <c r="G8" s="6" t="s">
        <v>73</v>
      </c>
      <c r="H8" s="6" t="s">
        <v>74</v>
      </c>
    </row>
    <row r="9" spans="1:8" x14ac:dyDescent="0.25">
      <c r="B9" s="4" t="s">
        <v>34</v>
      </c>
      <c r="C9" s="4" t="s">
        <v>35</v>
      </c>
      <c r="D9" s="4">
        <v>26.190476190476186</v>
      </c>
      <c r="E9" s="4">
        <v>0</v>
      </c>
      <c r="F9" s="4">
        <v>50</v>
      </c>
      <c r="G9" s="4">
        <v>10.000000000000007</v>
      </c>
      <c r="H9" s="4">
        <v>24.999999999999993</v>
      </c>
    </row>
    <row r="10" spans="1:8" x14ac:dyDescent="0.25">
      <c r="B10" s="4" t="s">
        <v>37</v>
      </c>
      <c r="C10" s="4" t="s">
        <v>38</v>
      </c>
      <c r="D10" s="4">
        <v>54.761904761904773</v>
      </c>
      <c r="E10" s="4">
        <v>0</v>
      </c>
      <c r="F10" s="4">
        <v>20</v>
      </c>
      <c r="G10" s="4">
        <v>19.999999999999993</v>
      </c>
      <c r="H10" s="4">
        <v>3.3333333333333357</v>
      </c>
    </row>
    <row r="11" spans="1:8" ht="15.75" thickBot="1" x14ac:dyDescent="0.3">
      <c r="B11" s="2" t="s">
        <v>49</v>
      </c>
      <c r="C11" s="2" t="s">
        <v>50</v>
      </c>
      <c r="D11" s="2">
        <v>20</v>
      </c>
      <c r="E11" s="2">
        <v>0</v>
      </c>
      <c r="F11" s="2">
        <v>25</v>
      </c>
      <c r="G11" s="2">
        <v>1E+30</v>
      </c>
      <c r="H11" s="2">
        <v>1E+30</v>
      </c>
    </row>
    <row r="13" spans="1:8" ht="15.75" thickBot="1" x14ac:dyDescent="0.3">
      <c r="A13" t="s">
        <v>5</v>
      </c>
    </row>
    <row r="14" spans="1:8" x14ac:dyDescent="0.25">
      <c r="B14" s="5"/>
      <c r="C14" s="5"/>
      <c r="D14" s="5" t="s">
        <v>66</v>
      </c>
      <c r="E14" s="5" t="s">
        <v>75</v>
      </c>
      <c r="F14" s="5" t="s">
        <v>77</v>
      </c>
      <c r="G14" s="5" t="s">
        <v>72</v>
      </c>
      <c r="H14" s="5" t="s">
        <v>72</v>
      </c>
    </row>
    <row r="15" spans="1:8" ht="15.75" thickBot="1" x14ac:dyDescent="0.3">
      <c r="B15" s="6" t="s">
        <v>22</v>
      </c>
      <c r="C15" s="6" t="s">
        <v>23</v>
      </c>
      <c r="D15" s="6" t="s">
        <v>67</v>
      </c>
      <c r="E15" s="6" t="s">
        <v>76</v>
      </c>
      <c r="F15" s="6" t="s">
        <v>78</v>
      </c>
      <c r="G15" s="6" t="s">
        <v>73</v>
      </c>
      <c r="H15" s="6" t="s">
        <v>74</v>
      </c>
    </row>
    <row r="16" spans="1:8" x14ac:dyDescent="0.25">
      <c r="B16" s="4" t="s">
        <v>51</v>
      </c>
      <c r="C16" s="4" t="s">
        <v>8</v>
      </c>
      <c r="D16" s="4">
        <v>350</v>
      </c>
      <c r="E16" s="4">
        <v>1.4285714285714295</v>
      </c>
      <c r="F16" s="4">
        <v>350</v>
      </c>
      <c r="G16" s="4">
        <v>75.222222222222214</v>
      </c>
      <c r="H16" s="4">
        <v>73.333333333333357</v>
      </c>
    </row>
    <row r="17" spans="2:8" x14ac:dyDescent="0.25">
      <c r="B17" s="4" t="s">
        <v>53</v>
      </c>
      <c r="C17" s="4" t="s">
        <v>8</v>
      </c>
      <c r="D17" s="4">
        <v>118.57142857142856</v>
      </c>
      <c r="E17" s="4">
        <v>0</v>
      </c>
      <c r="F17" s="4">
        <v>150</v>
      </c>
      <c r="G17" s="4">
        <v>1E+30</v>
      </c>
      <c r="H17" s="4">
        <v>31.428571428571438</v>
      </c>
    </row>
    <row r="18" spans="2:8" x14ac:dyDescent="0.25">
      <c r="B18" s="4" t="s">
        <v>56</v>
      </c>
      <c r="C18" s="4" t="s">
        <v>8</v>
      </c>
      <c r="D18" s="4">
        <v>26.190476190476186</v>
      </c>
      <c r="E18" s="4">
        <v>0</v>
      </c>
      <c r="F18" s="4">
        <v>55</v>
      </c>
      <c r="G18" s="4">
        <v>1E+30</v>
      </c>
      <c r="H18" s="4">
        <v>28.809523809523814</v>
      </c>
    </row>
    <row r="19" spans="2:8" x14ac:dyDescent="0.25">
      <c r="B19" s="4" t="s">
        <v>58</v>
      </c>
      <c r="C19" s="4" t="s">
        <v>8</v>
      </c>
      <c r="D19" s="4">
        <v>54.761904761904773</v>
      </c>
      <c r="E19" s="4">
        <v>0</v>
      </c>
      <c r="F19" s="4">
        <v>87</v>
      </c>
      <c r="G19" s="4">
        <v>1E+30</v>
      </c>
      <c r="H19" s="4">
        <v>32.238095238095234</v>
      </c>
    </row>
    <row r="20" spans="2:8" x14ac:dyDescent="0.25">
      <c r="B20" s="4" t="s">
        <v>60</v>
      </c>
      <c r="C20" s="4" t="s">
        <v>8</v>
      </c>
      <c r="D20" s="4">
        <v>20</v>
      </c>
      <c r="E20" s="4">
        <v>1.190476190476196</v>
      </c>
      <c r="F20" s="4">
        <v>20</v>
      </c>
      <c r="G20" s="4">
        <v>27.080000000000002</v>
      </c>
      <c r="H20" s="4">
        <v>20</v>
      </c>
    </row>
    <row r="21" spans="2:8" ht="15.75" thickBot="1" x14ac:dyDescent="0.3">
      <c r="B21" s="2" t="s">
        <v>62</v>
      </c>
      <c r="C21" s="2" t="s">
        <v>8</v>
      </c>
      <c r="D21" s="2">
        <v>500</v>
      </c>
      <c r="E21" s="2">
        <v>4.7619047619047601</v>
      </c>
      <c r="F21" s="2">
        <v>500</v>
      </c>
      <c r="G21" s="2">
        <v>55.000000000000021</v>
      </c>
      <c r="H21" s="2">
        <v>135.39999999999998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1DA5B-8DEE-46AB-9C9C-7BC504A98804}">
  <dimension ref="A1:J15"/>
  <sheetViews>
    <sheetView showGridLines="0" workbookViewId="0">
      <selection sqref="A1:A3"/>
    </sheetView>
  </sheetViews>
  <sheetFormatPr defaultRowHeight="15" x14ac:dyDescent="0.25"/>
  <cols>
    <col min="1" max="1" width="2.28515625" customWidth="1"/>
    <col min="2" max="2" width="6.5703125" bestFit="1" customWidth="1"/>
    <col min="3" max="3" width="8.28515625" bestFit="1" customWidth="1"/>
    <col min="4" max="4" width="5.7109375" bestFit="1" customWidth="1"/>
    <col min="5" max="5" width="2.28515625" customWidth="1"/>
    <col min="6" max="6" width="7.7109375" bestFit="1" customWidth="1"/>
    <col min="7" max="7" width="9.85546875" bestFit="1" customWidth="1"/>
    <col min="8" max="8" width="2.28515625" customWidth="1"/>
    <col min="9" max="9" width="8.5703125" bestFit="1" customWidth="1"/>
    <col min="10" max="10" width="9.85546875" bestFit="1" customWidth="1"/>
  </cols>
  <sheetData>
    <row r="1" spans="1:10" x14ac:dyDescent="0.25">
      <c r="A1" s="1" t="s">
        <v>79</v>
      </c>
    </row>
    <row r="2" spans="1:10" x14ac:dyDescent="0.25">
      <c r="A2" s="1" t="s">
        <v>45</v>
      </c>
    </row>
    <row r="3" spans="1:10" x14ac:dyDescent="0.25">
      <c r="A3" s="1" t="s">
        <v>65</v>
      </c>
    </row>
    <row r="5" spans="1:10" ht="15.75" thickBot="1" x14ac:dyDescent="0.3"/>
    <row r="6" spans="1:10" x14ac:dyDescent="0.25">
      <c r="B6" s="5"/>
      <c r="C6" s="5" t="s">
        <v>70</v>
      </c>
      <c r="D6" s="5"/>
    </row>
    <row r="7" spans="1:10" ht="15.75" thickBot="1" x14ac:dyDescent="0.3">
      <c r="B7" s="6" t="s">
        <v>22</v>
      </c>
      <c r="C7" s="6" t="s">
        <v>23</v>
      </c>
      <c r="D7" s="6" t="s">
        <v>67</v>
      </c>
    </row>
    <row r="8" spans="1:10" ht="15.75" thickBot="1" x14ac:dyDescent="0.3">
      <c r="B8" s="2" t="s">
        <v>32</v>
      </c>
      <c r="C8" s="2" t="s">
        <v>33</v>
      </c>
      <c r="D8" s="2">
        <v>2904.7619047619046</v>
      </c>
    </row>
    <row r="10" spans="1:10" ht="15.75" thickBot="1" x14ac:dyDescent="0.3"/>
    <row r="11" spans="1:10" x14ac:dyDescent="0.25">
      <c r="B11" s="5"/>
      <c r="C11" s="5" t="s">
        <v>80</v>
      </c>
      <c r="D11" s="5"/>
      <c r="F11" s="5" t="s">
        <v>81</v>
      </c>
      <c r="G11" s="5" t="s">
        <v>70</v>
      </c>
      <c r="I11" s="5" t="s">
        <v>84</v>
      </c>
      <c r="J11" s="5" t="s">
        <v>70</v>
      </c>
    </row>
    <row r="12" spans="1:10" ht="15.75" thickBot="1" x14ac:dyDescent="0.3">
      <c r="B12" s="6" t="s">
        <v>22</v>
      </c>
      <c r="C12" s="6" t="s">
        <v>23</v>
      </c>
      <c r="D12" s="6" t="s">
        <v>67</v>
      </c>
      <c r="F12" s="6" t="s">
        <v>82</v>
      </c>
      <c r="G12" s="6" t="s">
        <v>83</v>
      </c>
      <c r="I12" s="6" t="s">
        <v>82</v>
      </c>
      <c r="J12" s="6" t="s">
        <v>83</v>
      </c>
    </row>
    <row r="13" spans="1:10" x14ac:dyDescent="0.25">
      <c r="B13" s="4" t="s">
        <v>34</v>
      </c>
      <c r="C13" s="4" t="s">
        <v>35</v>
      </c>
      <c r="D13" s="4">
        <v>26.190476190476186</v>
      </c>
      <c r="F13" s="4">
        <v>0</v>
      </c>
      <c r="G13" s="4">
        <v>1595.2380952380954</v>
      </c>
      <c r="I13" s="4">
        <v>26.190476190476183</v>
      </c>
      <c r="J13" s="4">
        <v>2904.7619047619046</v>
      </c>
    </row>
    <row r="14" spans="1:10" x14ac:dyDescent="0.25">
      <c r="B14" s="4" t="s">
        <v>37</v>
      </c>
      <c r="C14" s="4" t="s">
        <v>38</v>
      </c>
      <c r="D14" s="4">
        <v>54.761904761904773</v>
      </c>
      <c r="F14" s="4">
        <v>0</v>
      </c>
      <c r="G14" s="4">
        <v>1809.5238095238094</v>
      </c>
      <c r="I14" s="4">
        <v>54.761904761904766</v>
      </c>
      <c r="J14" s="4">
        <v>2904.7619047619046</v>
      </c>
    </row>
    <row r="15" spans="1:10" ht="15.75" thickBot="1" x14ac:dyDescent="0.3">
      <c r="B15" s="2" t="s">
        <v>49</v>
      </c>
      <c r="C15" s="2" t="s">
        <v>50</v>
      </c>
      <c r="D15" s="2">
        <v>20</v>
      </c>
      <c r="F15" s="2">
        <v>20</v>
      </c>
      <c r="G15" s="2">
        <v>2904.7619047619046</v>
      </c>
      <c r="I15" s="2">
        <v>20</v>
      </c>
      <c r="J15" s="2">
        <v>2904.7619047619046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8A0E7-462C-424C-9B10-AB2350AD5C2E}">
  <dimension ref="A1:G29"/>
  <sheetViews>
    <sheetView showGridLines="0" workbookViewId="0"/>
  </sheetViews>
  <sheetFormatPr defaultRowHeight="15" x14ac:dyDescent="0.25"/>
  <cols>
    <col min="1" max="1" width="2.28515625" customWidth="1"/>
    <col min="2" max="2" width="6.5703125" bestFit="1" customWidth="1"/>
    <col min="3" max="3" width="11.5703125" bestFit="1" customWidth="1"/>
    <col min="4" max="4" width="14.42578125" bestFit="1" customWidth="1"/>
    <col min="5" max="5" width="13.140625" bestFit="1" customWidth="1"/>
    <col min="6" max="6" width="14.85546875" bestFit="1" customWidth="1"/>
    <col min="7" max="7" width="17.5703125" bestFit="1" customWidth="1"/>
  </cols>
  <sheetData>
    <row r="1" spans="1:5" x14ac:dyDescent="0.25">
      <c r="A1" s="1" t="s">
        <v>10</v>
      </c>
    </row>
    <row r="2" spans="1:5" x14ac:dyDescent="0.25">
      <c r="A2" s="1" t="s">
        <v>45</v>
      </c>
    </row>
    <row r="3" spans="1:5" x14ac:dyDescent="0.25">
      <c r="A3" s="1" t="s">
        <v>85</v>
      </c>
    </row>
    <row r="4" spans="1:5" x14ac:dyDescent="0.25">
      <c r="A4" s="1" t="s">
        <v>13</v>
      </c>
    </row>
    <row r="5" spans="1:5" x14ac:dyDescent="0.25">
      <c r="A5" s="1" t="s">
        <v>14</v>
      </c>
    </row>
    <row r="6" spans="1:5" x14ac:dyDescent="0.25">
      <c r="A6" s="1"/>
      <c r="B6" t="s">
        <v>15</v>
      </c>
    </row>
    <row r="7" spans="1:5" x14ac:dyDescent="0.25">
      <c r="A7" s="1"/>
      <c r="B7" t="s">
        <v>86</v>
      </c>
    </row>
    <row r="8" spans="1:5" x14ac:dyDescent="0.25">
      <c r="A8" s="1"/>
      <c r="B8" t="s">
        <v>17</v>
      </c>
    </row>
    <row r="9" spans="1:5" x14ac:dyDescent="0.25">
      <c r="A9" s="1" t="s">
        <v>18</v>
      </c>
    </row>
    <row r="10" spans="1:5" x14ac:dyDescent="0.25">
      <c r="B10" t="s">
        <v>19</v>
      </c>
    </row>
    <row r="11" spans="1:5" x14ac:dyDescent="0.25">
      <c r="B11" t="s">
        <v>20</v>
      </c>
    </row>
    <row r="14" spans="1:5" ht="15.75" thickBot="1" x14ac:dyDescent="0.3">
      <c r="A14" t="s">
        <v>21</v>
      </c>
    </row>
    <row r="15" spans="1:5" ht="15.75" thickBot="1" x14ac:dyDescent="0.3">
      <c r="B15" s="8" t="s">
        <v>22</v>
      </c>
      <c r="C15" s="8" t="s">
        <v>23</v>
      </c>
      <c r="D15" s="8" t="s">
        <v>24</v>
      </c>
      <c r="E15" s="8" t="s">
        <v>25</v>
      </c>
    </row>
    <row r="16" spans="1:5" ht="15.75" thickBot="1" x14ac:dyDescent="0.3">
      <c r="B16" s="7" t="s">
        <v>32</v>
      </c>
      <c r="C16" s="7" t="s">
        <v>33</v>
      </c>
      <c r="D16" s="10">
        <v>410</v>
      </c>
      <c r="E16" s="10">
        <v>175</v>
      </c>
    </row>
    <row r="19" spans="1:7" ht="15.75" thickBot="1" x14ac:dyDescent="0.3">
      <c r="A19" t="s">
        <v>26</v>
      </c>
    </row>
    <row r="20" spans="1:7" ht="15.75" thickBot="1" x14ac:dyDescent="0.3">
      <c r="B20" s="8" t="s">
        <v>22</v>
      </c>
      <c r="C20" s="8" t="s">
        <v>23</v>
      </c>
      <c r="D20" s="8" t="s">
        <v>24</v>
      </c>
      <c r="E20" s="8" t="s">
        <v>25</v>
      </c>
      <c r="F20" s="8" t="s">
        <v>27</v>
      </c>
    </row>
    <row r="21" spans="1:7" x14ac:dyDescent="0.25">
      <c r="B21" s="9" t="s">
        <v>34</v>
      </c>
      <c r="C21" s="9" t="s">
        <v>35</v>
      </c>
      <c r="D21" s="11">
        <v>26.190476190476186</v>
      </c>
      <c r="E21" s="11">
        <v>15</v>
      </c>
      <c r="F21" s="9" t="s">
        <v>36</v>
      </c>
    </row>
    <row r="22" spans="1:7" x14ac:dyDescent="0.25">
      <c r="B22" s="9" t="s">
        <v>37</v>
      </c>
      <c r="C22" s="9" t="s">
        <v>38</v>
      </c>
      <c r="D22" s="11">
        <v>54.761904761904773</v>
      </c>
      <c r="E22" s="11">
        <v>25</v>
      </c>
      <c r="F22" s="9" t="s">
        <v>36</v>
      </c>
    </row>
    <row r="23" spans="1:7" ht="15.75" thickBot="1" x14ac:dyDescent="0.3">
      <c r="B23" s="7" t="s">
        <v>49</v>
      </c>
      <c r="C23" s="7" t="s">
        <v>50</v>
      </c>
      <c r="D23" s="10">
        <v>20</v>
      </c>
      <c r="E23" s="10">
        <v>0</v>
      </c>
      <c r="F23" s="7" t="s">
        <v>36</v>
      </c>
    </row>
    <row r="26" spans="1:7" ht="15.75" thickBot="1" x14ac:dyDescent="0.3">
      <c r="A26" t="s">
        <v>5</v>
      </c>
    </row>
    <row r="27" spans="1:7" ht="15.75" thickBot="1" x14ac:dyDescent="0.3">
      <c r="B27" s="8" t="s">
        <v>22</v>
      </c>
      <c r="C27" s="8" t="s">
        <v>23</v>
      </c>
      <c r="D27" s="8" t="s">
        <v>28</v>
      </c>
      <c r="E27" s="8" t="s">
        <v>29</v>
      </c>
      <c r="F27" s="8" t="s">
        <v>30</v>
      </c>
      <c r="G27" s="8" t="s">
        <v>31</v>
      </c>
    </row>
    <row r="28" spans="1:7" x14ac:dyDescent="0.25">
      <c r="B28" s="9" t="s">
        <v>51</v>
      </c>
      <c r="C28" s="9" t="s">
        <v>8</v>
      </c>
      <c r="D28" s="11">
        <v>25</v>
      </c>
      <c r="E28" s="9" t="s">
        <v>52</v>
      </c>
      <c r="F28" s="9" t="s">
        <v>41</v>
      </c>
      <c r="G28" s="9">
        <v>0</v>
      </c>
    </row>
    <row r="29" spans="1:7" ht="15.75" thickBot="1" x14ac:dyDescent="0.3">
      <c r="B29" s="7" t="s">
        <v>62</v>
      </c>
      <c r="C29" s="7" t="s">
        <v>8</v>
      </c>
      <c r="D29" s="10">
        <v>15</v>
      </c>
      <c r="E29" s="7" t="s">
        <v>63</v>
      </c>
      <c r="F29" s="7" t="s">
        <v>41</v>
      </c>
      <c r="G29" s="7">
        <v>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5B5BC-E1A5-4B46-AEAB-87D6C2D6CAA3}">
  <dimension ref="A1:H17"/>
  <sheetViews>
    <sheetView showGridLines="0" tabSelected="1" workbookViewId="0"/>
  </sheetViews>
  <sheetFormatPr defaultRowHeight="15" x14ac:dyDescent="0.25"/>
  <cols>
    <col min="1" max="1" width="2.28515625" customWidth="1"/>
    <col min="2" max="2" width="6.5703125" bestFit="1" customWidth="1"/>
    <col min="3" max="3" width="11.5703125" bestFit="1" customWidth="1"/>
    <col min="4" max="4" width="5.7109375" bestFit="1" customWidth="1"/>
    <col min="5" max="5" width="9.28515625" bestFit="1" customWidth="1"/>
    <col min="6" max="6" width="11.28515625" bestFit="1" customWidth="1"/>
    <col min="7" max="8" width="9.85546875" bestFit="1" customWidth="1"/>
  </cols>
  <sheetData>
    <row r="1" spans="1:8" x14ac:dyDescent="0.25">
      <c r="A1" s="1" t="s">
        <v>64</v>
      </c>
    </row>
    <row r="2" spans="1:8" x14ac:dyDescent="0.25">
      <c r="A2" s="1" t="s">
        <v>45</v>
      </c>
    </row>
    <row r="3" spans="1:8" x14ac:dyDescent="0.25">
      <c r="A3" s="1" t="s">
        <v>85</v>
      </c>
    </row>
    <row r="6" spans="1:8" ht="15.75" thickBot="1" x14ac:dyDescent="0.3">
      <c r="A6" t="s">
        <v>26</v>
      </c>
    </row>
    <row r="7" spans="1:8" x14ac:dyDescent="0.25">
      <c r="B7" s="12"/>
      <c r="C7" s="12"/>
      <c r="D7" s="12" t="s">
        <v>66</v>
      </c>
      <c r="E7" s="12" t="s">
        <v>68</v>
      </c>
      <c r="F7" s="12" t="s">
        <v>70</v>
      </c>
      <c r="G7" s="12" t="s">
        <v>72</v>
      </c>
      <c r="H7" s="12" t="s">
        <v>72</v>
      </c>
    </row>
    <row r="8" spans="1:8" ht="15.75" thickBot="1" x14ac:dyDescent="0.3">
      <c r="B8" s="13" t="s">
        <v>22</v>
      </c>
      <c r="C8" s="13" t="s">
        <v>23</v>
      </c>
      <c r="D8" s="13" t="s">
        <v>67</v>
      </c>
      <c r="E8" s="13" t="s">
        <v>69</v>
      </c>
      <c r="F8" s="13" t="s">
        <v>71</v>
      </c>
      <c r="G8" s="13" t="s">
        <v>73</v>
      </c>
      <c r="H8" s="13" t="s">
        <v>74</v>
      </c>
    </row>
    <row r="9" spans="1:8" x14ac:dyDescent="0.25">
      <c r="B9" s="9" t="s">
        <v>34</v>
      </c>
      <c r="C9" s="9" t="s">
        <v>35</v>
      </c>
      <c r="D9" s="9">
        <v>15</v>
      </c>
      <c r="E9" s="9">
        <v>0</v>
      </c>
      <c r="F9" s="9">
        <v>5</v>
      </c>
      <c r="G9" s="9">
        <v>1E+30</v>
      </c>
      <c r="H9" s="9">
        <v>5</v>
      </c>
    </row>
    <row r="10" spans="1:8" x14ac:dyDescent="0.25">
      <c r="B10" s="9" t="s">
        <v>37</v>
      </c>
      <c r="C10" s="9" t="s">
        <v>38</v>
      </c>
      <c r="D10" s="9">
        <v>25</v>
      </c>
      <c r="E10" s="9">
        <v>0</v>
      </c>
      <c r="F10" s="9">
        <v>4</v>
      </c>
      <c r="G10" s="9">
        <v>1E+30</v>
      </c>
      <c r="H10" s="9">
        <v>4</v>
      </c>
    </row>
    <row r="11" spans="1:8" ht="15.75" thickBot="1" x14ac:dyDescent="0.3">
      <c r="B11" s="7" t="s">
        <v>49</v>
      </c>
      <c r="C11" s="7" t="s">
        <v>50</v>
      </c>
      <c r="D11" s="7">
        <v>0</v>
      </c>
      <c r="E11" s="7">
        <v>-14</v>
      </c>
      <c r="F11" s="7">
        <v>3</v>
      </c>
      <c r="G11" s="7">
        <v>14</v>
      </c>
      <c r="H11" s="7">
        <v>1E+30</v>
      </c>
    </row>
    <row r="13" spans="1:8" ht="15.75" thickBot="1" x14ac:dyDescent="0.3">
      <c r="A13" t="s">
        <v>5</v>
      </c>
    </row>
    <row r="14" spans="1:8" x14ac:dyDescent="0.25">
      <c r="B14" s="12"/>
      <c r="C14" s="12"/>
      <c r="D14" s="12" t="s">
        <v>66</v>
      </c>
      <c r="E14" s="12" t="s">
        <v>75</v>
      </c>
      <c r="F14" s="12" t="s">
        <v>77</v>
      </c>
      <c r="G14" s="12" t="s">
        <v>72</v>
      </c>
      <c r="H14" s="12" t="s">
        <v>72</v>
      </c>
    </row>
    <row r="15" spans="1:8" ht="15.75" thickBot="1" x14ac:dyDescent="0.3">
      <c r="B15" s="13" t="s">
        <v>22</v>
      </c>
      <c r="C15" s="13" t="s">
        <v>23</v>
      </c>
      <c r="D15" s="13" t="s">
        <v>67</v>
      </c>
      <c r="E15" s="13" t="s">
        <v>76</v>
      </c>
      <c r="F15" s="13" t="s">
        <v>78</v>
      </c>
      <c r="G15" s="13" t="s">
        <v>73</v>
      </c>
      <c r="H15" s="13" t="s">
        <v>74</v>
      </c>
    </row>
    <row r="16" spans="1:8" x14ac:dyDescent="0.25">
      <c r="B16" s="9" t="s">
        <v>51</v>
      </c>
      <c r="C16" s="9" t="s">
        <v>8</v>
      </c>
      <c r="D16" s="9">
        <v>25</v>
      </c>
      <c r="E16" s="9">
        <v>4</v>
      </c>
      <c r="F16" s="9">
        <v>25</v>
      </c>
      <c r="G16" s="9">
        <v>1E+30</v>
      </c>
      <c r="H16" s="9">
        <v>25</v>
      </c>
    </row>
    <row r="17" spans="2:8" ht="15.75" thickBot="1" x14ac:dyDescent="0.3">
      <c r="B17" s="7" t="s">
        <v>62</v>
      </c>
      <c r="C17" s="7" t="s">
        <v>8</v>
      </c>
      <c r="D17" s="7">
        <v>15</v>
      </c>
      <c r="E17" s="7">
        <v>5</v>
      </c>
      <c r="F17" s="7">
        <v>15</v>
      </c>
      <c r="G17" s="7">
        <v>1E+30</v>
      </c>
      <c r="H17" s="7">
        <v>15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43239-FD44-4FF0-9E79-926F0B98F2B1}">
  <dimension ref="A1:J15"/>
  <sheetViews>
    <sheetView showGridLines="0" workbookViewId="0">
      <selection sqref="A1:A3"/>
    </sheetView>
  </sheetViews>
  <sheetFormatPr defaultRowHeight="15" x14ac:dyDescent="0.25"/>
  <cols>
    <col min="1" max="1" width="2.28515625" customWidth="1"/>
    <col min="2" max="2" width="6.5703125" bestFit="1" customWidth="1"/>
    <col min="3" max="3" width="8.28515625" bestFit="1" customWidth="1"/>
    <col min="4" max="4" width="5.7109375" bestFit="1" customWidth="1"/>
    <col min="5" max="5" width="2.28515625" customWidth="1"/>
    <col min="6" max="6" width="7.7109375" bestFit="1" customWidth="1"/>
    <col min="7" max="7" width="9.85546875" bestFit="1" customWidth="1"/>
    <col min="8" max="8" width="2.28515625" customWidth="1"/>
    <col min="9" max="9" width="8.5703125" bestFit="1" customWidth="1"/>
    <col min="10" max="10" width="9.85546875" bestFit="1" customWidth="1"/>
  </cols>
  <sheetData>
    <row r="1" spans="1:10" x14ac:dyDescent="0.25">
      <c r="A1" s="1" t="s">
        <v>79</v>
      </c>
    </row>
    <row r="2" spans="1:10" x14ac:dyDescent="0.25">
      <c r="A2" s="1" t="s">
        <v>45</v>
      </c>
    </row>
    <row r="3" spans="1:10" x14ac:dyDescent="0.25">
      <c r="A3" s="1" t="s">
        <v>85</v>
      </c>
    </row>
    <row r="5" spans="1:10" ht="15.75" thickBot="1" x14ac:dyDescent="0.3"/>
    <row r="6" spans="1:10" x14ac:dyDescent="0.25">
      <c r="B6" s="12"/>
      <c r="C6" s="12" t="s">
        <v>70</v>
      </c>
      <c r="D6" s="12"/>
    </row>
    <row r="7" spans="1:10" ht="15.75" thickBot="1" x14ac:dyDescent="0.3">
      <c r="B7" s="13" t="s">
        <v>22</v>
      </c>
      <c r="C7" s="13" t="s">
        <v>23</v>
      </c>
      <c r="D7" s="13" t="s">
        <v>67</v>
      </c>
    </row>
    <row r="8" spans="1:10" ht="15.75" thickBot="1" x14ac:dyDescent="0.3">
      <c r="B8" s="7" t="s">
        <v>32</v>
      </c>
      <c r="C8" s="7" t="s">
        <v>33</v>
      </c>
      <c r="D8" s="10">
        <v>175</v>
      </c>
    </row>
    <row r="10" spans="1:10" ht="15.75" thickBot="1" x14ac:dyDescent="0.3"/>
    <row r="11" spans="1:10" x14ac:dyDescent="0.25">
      <c r="B11" s="12"/>
      <c r="C11" s="12" t="s">
        <v>80</v>
      </c>
      <c r="D11" s="12"/>
      <c r="F11" s="12" t="s">
        <v>81</v>
      </c>
      <c r="G11" s="12" t="s">
        <v>70</v>
      </c>
      <c r="I11" s="12" t="s">
        <v>84</v>
      </c>
      <c r="J11" s="12" t="s">
        <v>70</v>
      </c>
    </row>
    <row r="12" spans="1:10" ht="15.75" thickBot="1" x14ac:dyDescent="0.3">
      <c r="B12" s="13" t="s">
        <v>22</v>
      </c>
      <c r="C12" s="13" t="s">
        <v>23</v>
      </c>
      <c r="D12" s="13" t="s">
        <v>67</v>
      </c>
      <c r="F12" s="13" t="s">
        <v>82</v>
      </c>
      <c r="G12" s="13" t="s">
        <v>83</v>
      </c>
      <c r="I12" s="13" t="s">
        <v>82</v>
      </c>
      <c r="J12" s="13" t="s">
        <v>83</v>
      </c>
    </row>
    <row r="13" spans="1:10" x14ac:dyDescent="0.25">
      <c r="B13" s="9" t="s">
        <v>34</v>
      </c>
      <c r="C13" s="9" t="s">
        <v>35</v>
      </c>
      <c r="D13" s="11">
        <v>15</v>
      </c>
      <c r="F13" s="11">
        <v>0</v>
      </c>
      <c r="G13" s="11">
        <v>100</v>
      </c>
      <c r="I13" s="11">
        <v>15</v>
      </c>
      <c r="J13" s="11">
        <v>175</v>
      </c>
    </row>
    <row r="14" spans="1:10" x14ac:dyDescent="0.25">
      <c r="B14" s="9" t="s">
        <v>37</v>
      </c>
      <c r="C14" s="9" t="s">
        <v>38</v>
      </c>
      <c r="D14" s="11">
        <v>25</v>
      </c>
      <c r="F14" s="11">
        <v>0</v>
      </c>
      <c r="G14" s="11">
        <v>75</v>
      </c>
      <c r="I14" s="11">
        <v>25</v>
      </c>
      <c r="J14" s="11">
        <v>175</v>
      </c>
    </row>
    <row r="15" spans="1:10" ht="15.75" thickBot="1" x14ac:dyDescent="0.3">
      <c r="B15" s="7" t="s">
        <v>49</v>
      </c>
      <c r="C15" s="7" t="s">
        <v>50</v>
      </c>
      <c r="D15" s="10">
        <v>0</v>
      </c>
      <c r="F15" s="10">
        <v>0</v>
      </c>
      <c r="G15" s="10">
        <v>175</v>
      </c>
      <c r="I15" s="10">
        <v>0</v>
      </c>
      <c r="J15" s="10">
        <v>175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CEE32-125B-4275-8AAD-CA63217A6BE3}">
  <dimension ref="A1:F10"/>
  <sheetViews>
    <sheetView workbookViewId="0">
      <selection activeCell="F9" sqref="F9"/>
    </sheetView>
  </sheetViews>
  <sheetFormatPr defaultRowHeight="15" x14ac:dyDescent="0.25"/>
  <cols>
    <col min="1" max="1" width="15.7109375" customWidth="1"/>
    <col min="2" max="2" width="35" bestFit="1" customWidth="1"/>
    <col min="3" max="4" width="3" bestFit="1" customWidth="1"/>
    <col min="6" max="6" width="10" bestFit="1" customWidth="1"/>
  </cols>
  <sheetData>
    <row r="1" spans="1:6" x14ac:dyDescent="0.25">
      <c r="A1" t="s">
        <v>6</v>
      </c>
      <c r="B1" t="s">
        <v>0</v>
      </c>
    </row>
    <row r="2" spans="1:6" x14ac:dyDescent="0.25">
      <c r="B2" t="s">
        <v>1</v>
      </c>
      <c r="C2" t="s">
        <v>2</v>
      </c>
      <c r="D2" t="s">
        <v>44</v>
      </c>
    </row>
    <row r="3" spans="1:6" x14ac:dyDescent="0.25">
      <c r="B3">
        <v>15</v>
      </c>
      <c r="C3">
        <v>25</v>
      </c>
      <c r="D3">
        <v>0</v>
      </c>
    </row>
    <row r="4" spans="1:6" x14ac:dyDescent="0.25">
      <c r="A4" t="s">
        <v>3</v>
      </c>
      <c r="B4">
        <v>5</v>
      </c>
      <c r="C4">
        <v>0</v>
      </c>
      <c r="D4">
        <v>0</v>
      </c>
    </row>
    <row r="5" spans="1:6" x14ac:dyDescent="0.25">
      <c r="A5" t="s">
        <v>4</v>
      </c>
      <c r="B5">
        <f>B4*B3+C4*C3+D4*D3</f>
        <v>75</v>
      </c>
    </row>
    <row r="7" spans="1:6" x14ac:dyDescent="0.25">
      <c r="A7" t="s">
        <v>5</v>
      </c>
    </row>
    <row r="8" spans="1:6" x14ac:dyDescent="0.25">
      <c r="A8" t="s">
        <v>7</v>
      </c>
      <c r="B8" t="s">
        <v>1</v>
      </c>
      <c r="C8" t="s">
        <v>2</v>
      </c>
      <c r="D8" t="s">
        <v>44</v>
      </c>
      <c r="E8" t="s">
        <v>8</v>
      </c>
      <c r="F8" t="s">
        <v>9</v>
      </c>
    </row>
    <row r="9" spans="1:6" x14ac:dyDescent="0.25">
      <c r="A9">
        <v>1</v>
      </c>
      <c r="B9">
        <v>1</v>
      </c>
      <c r="C9">
        <v>1</v>
      </c>
      <c r="D9">
        <v>0</v>
      </c>
      <c r="E9">
        <f>B9*B4+C9*C4+D9*D4</f>
        <v>5</v>
      </c>
      <c r="F9">
        <v>5</v>
      </c>
    </row>
    <row r="10" spans="1:6" x14ac:dyDescent="0.25">
      <c r="A10">
        <v>2</v>
      </c>
      <c r="B10">
        <v>1</v>
      </c>
      <c r="C10">
        <v>2</v>
      </c>
      <c r="D10">
        <v>0</v>
      </c>
      <c r="E10">
        <f>B10*B4+C10*C4+D10*D4</f>
        <v>5</v>
      </c>
      <c r="F10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Relatório de Respostas 1</vt:lpstr>
      <vt:lpstr>Relatório de Respostas 2</vt:lpstr>
      <vt:lpstr>Relatório de Sensibilidade 1</vt:lpstr>
      <vt:lpstr>Relatório de Limites 1</vt:lpstr>
      <vt:lpstr>Relatório de Respostas 3</vt:lpstr>
      <vt:lpstr>Relatório de Sensibilidade 2</vt:lpstr>
      <vt:lpstr>Relatório de Limites 2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Renan Belem Biavati</dc:creator>
  <cp:lastModifiedBy>Renan Belem Biavati</cp:lastModifiedBy>
  <dcterms:created xsi:type="dcterms:W3CDTF">2024-03-11T21:43:10Z</dcterms:created>
  <dcterms:modified xsi:type="dcterms:W3CDTF">2024-04-04T17:59:26Z</dcterms:modified>
</cp:coreProperties>
</file>